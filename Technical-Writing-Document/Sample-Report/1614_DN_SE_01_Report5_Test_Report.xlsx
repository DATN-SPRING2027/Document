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s" sheetId="2" r:id="rId5"/>
    <sheet state="visible" name="Test Statistics" sheetId="3" r:id="rId6"/>
    <sheet state="visible" name="User Account Management" sheetId="4" r:id="rId7"/>
    <sheet state="visible" name="Student Management" sheetId="5" r:id="rId8"/>
    <sheet state="visible" name="School System Configuration" sheetId="6" r:id="rId9"/>
    <sheet state="visible" name="Schedule Management" sheetId="7" r:id="rId10"/>
    <sheet state="visible" name="Vehicle Management" sheetId="8" r:id="rId11"/>
    <sheet state="visible" name="Route Management" sheetId="9" r:id="rId12"/>
    <sheet state="visible" name="Trip Management" sheetId="10" r:id="rId13"/>
    <sheet state="visible" name="Atendance Management" sheetId="11" r:id="rId14"/>
    <sheet state="visible" name="Service Registration &amp; Payment" sheetId="12" r:id="rId15"/>
    <sheet state="visible" name="Reporting" sheetId="13" r:id="rId16"/>
    <sheet state="visible" name="PickupDrop-off Address Manageme" sheetId="14" r:id="rId17"/>
    <sheet state="visible" name="Vehicle Status Monitoring" sheetId="15" r:id="rId18"/>
    <sheet state="visible" name="Notifications" sheetId="16" r:id="rId19"/>
    <sheet state="visible" name="Audit Logs" sheetId="17" r:id="rId20"/>
  </sheets>
  <definedNames>
    <definedName localSheetId="0" name="ACTION">#REF!</definedName>
    <definedName name="ACTION">#REF!</definedName>
    <definedName hidden="1" localSheetId="6" name="_xlnm._FilterDatabase">'Schedule Management'!$A$2:$F$8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
      <text>
        <t xml:space="preserve">*A: Add
  M: Modify
  D: Delete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sharedStrings.xml><?xml version="1.0" encoding="utf-8"?>
<sst xmlns="http://schemas.openxmlformats.org/spreadsheetml/2006/main" count="7180" uniqueCount="2884">
  <si>
    <t>TEST REPORT DOCUMENT</t>
  </si>
  <si>
    <t>Project Name</t>
  </si>
  <si>
    <t>EduBus School Bus Management System</t>
  </si>
  <si>
    <t>Creator</t>
  </si>
  <si>
    <t>NhiPTK</t>
  </si>
  <si>
    <t>Project Code</t>
  </si>
  <si>
    <t>ESBMS</t>
  </si>
  <si>
    <t>Issue Date</t>
  </si>
  <si>
    <t>Document Code</t>
  </si>
  <si>
    <t>Version</t>
  </si>
  <si>
    <t>Record of change</t>
  </si>
  <si>
    <t>Effective Date</t>
  </si>
  <si>
    <t>Change Item</t>
  </si>
  <si>
    <t>*A,D,M</t>
  </si>
  <si>
    <t>Change description</t>
  </si>
  <si>
    <t>Reference</t>
  </si>
  <si>
    <t>1.0</t>
  </si>
  <si>
    <t>Initial Test Requirements</t>
  </si>
  <si>
    <t>A</t>
  </si>
  <si>
    <t>- Add initial test requirements
- Define overall project scope</t>
  </si>
  <si>
    <t>1.1</t>
  </si>
  <si>
    <t>Project Scope Update</t>
  </si>
  <si>
    <t>M</t>
  </si>
  <si>
    <t>- Update project scope based on instructor feedback</t>
  </si>
  <si>
    <t>1.2</t>
  </si>
  <si>
    <t>Functional Requirements Update</t>
  </si>
  <si>
    <t>- Modify and refine functional requirements</t>
  </si>
  <si>
    <t>1.3</t>
  </si>
  <si>
    <t>Test Case Refinement</t>
  </si>
  <si>
    <t>- Improve test cases and test scenarios</t>
  </si>
  <si>
    <t>1.4</t>
  </si>
  <si>
    <t>Final Project Update</t>
  </si>
  <si>
    <t>- Finalize documentation and update project content</t>
  </si>
  <si>
    <t>TEST CASE LIST</t>
  </si>
  <si>
    <t xml:space="preserve">EduBus School Bus Management System                </t>
  </si>
  <si>
    <t>Test Environment Setup Description</t>
  </si>
  <si>
    <t>1. Server
2. Database
3. Web Browser</t>
  </si>
  <si>
    <t>No</t>
  </si>
  <si>
    <t>Function Name</t>
  </si>
  <si>
    <t>Sheet Name</t>
  </si>
  <si>
    <t>Description</t>
  </si>
  <si>
    <t>Pre-Condition</t>
  </si>
  <si>
    <t xml:space="preserve">Login </t>
  </si>
  <si>
    <t>User Account Management</t>
  </si>
  <si>
    <t>Allow users to log into the system with valid credentials.</t>
  </si>
  <si>
    <t>Must connect with server</t>
  </si>
  <si>
    <t>Logout</t>
  </si>
  <si>
    <t>Allow users to securely log out of the system.</t>
  </si>
  <si>
    <t>Change password</t>
  </si>
  <si>
    <t>Users can change their current password to a new one.</t>
  </si>
  <si>
    <t>Forgot password</t>
  </si>
  <si>
    <t>Allow users to reset their password via email/OTP.</t>
  </si>
  <si>
    <t>Edit personal profile</t>
  </si>
  <si>
    <t>Allow users to update their personal information.</t>
  </si>
  <si>
    <t>View personal profile</t>
  </si>
  <si>
    <t>Display user’s personal information.</t>
  </si>
  <si>
    <t>Create user accounts</t>
  </si>
  <si>
    <t>Allow admins to create new user accounts.</t>
  </si>
  <si>
    <t xml:space="preserve">Import driver/parent file
</t>
  </si>
  <si>
    <t>Allow admins to bulk-import users from a file.</t>
  </si>
  <si>
    <t>View user list</t>
  </si>
  <si>
    <t>Display the list of all system users.</t>
  </si>
  <si>
    <t>Ban/Unban users</t>
  </si>
  <si>
    <t>Allow admins to restrict or restore user access.</t>
  </si>
  <si>
    <t>Upload user avatar</t>
  </si>
  <si>
    <t>Allow users to upload or change their profile picture.</t>
  </si>
  <si>
    <t xml:space="preserve">View driver’s information (Parent)
</t>
  </si>
  <si>
    <t>Display assigned driver details for parents.</t>
  </si>
  <si>
    <t>Register for shuttle service</t>
  </si>
  <si>
    <t>Service Registration &amp; Payment</t>
  </si>
  <si>
    <t>Parents register for the school shuttle service.</t>
  </si>
  <si>
    <t>Make Payment</t>
  </si>
  <si>
    <t>Perform the service payment process.</t>
  </si>
  <si>
    <t xml:space="preserve">View register history </t>
  </si>
  <si>
    <t>Parents can review their past registration history.</t>
  </si>
  <si>
    <t xml:space="preserve">View payment history </t>
  </si>
  <si>
    <t>Display a list of past payments.</t>
  </si>
  <si>
    <t xml:space="preserve">View invoice details
</t>
  </si>
  <si>
    <t>Display detailed information of each invoice.</t>
  </si>
  <si>
    <t>Approve/Reject parent register request</t>
  </si>
  <si>
    <t>Allow admins to manage parent registration requests.</t>
  </si>
  <si>
    <t>Add student</t>
  </si>
  <si>
    <t>Student Management</t>
  </si>
  <si>
    <t>Admin adds new students into the system.</t>
  </si>
  <si>
    <t>Update student</t>
  </si>
  <si>
    <t>Admin updates student information.</t>
  </si>
  <si>
    <t>View student’s information</t>
  </si>
  <si>
    <t>Parents view their child’s information.</t>
  </si>
  <si>
    <t>View student list</t>
  </si>
  <si>
    <t>Display the list of all students in the system.</t>
  </si>
  <si>
    <t>Update student’s information</t>
  </si>
  <si>
    <t>Parents update their child’s information</t>
  </si>
  <si>
    <t xml:space="preserve">Delete student
</t>
  </si>
  <si>
    <t>Allow admins to remove a student.</t>
  </si>
  <si>
    <t xml:space="preserve">Import student file
</t>
  </si>
  <si>
    <t>Allow admins to bulk-import students from a file.</t>
  </si>
  <si>
    <t xml:space="preserve">Update student face profile
</t>
  </si>
  <si>
    <t>Allow admins to upload/update student face recognition data.</t>
  </si>
  <si>
    <t>Send absence report (Parent)</t>
  </si>
  <si>
    <t>Allow parents to report their child’s absence.</t>
  </si>
  <si>
    <t>Send leave/sick request (Driver)</t>
  </si>
  <si>
    <t>Allow drivers to report unavailability.</t>
  </si>
  <si>
    <t>Create vehicle</t>
  </si>
  <si>
    <t>Vehicle Management</t>
  </si>
  <si>
    <t>Admin adds a new vehicle into the system.</t>
  </si>
  <si>
    <t>Assign driver</t>
  </si>
  <si>
    <t>Admin assigns a driver to a specific vehicle.</t>
  </si>
  <si>
    <t>Delete vehicle</t>
  </si>
  <si>
    <t>Allow admins to remove a vehicle.</t>
  </si>
  <si>
    <t>Update vehicle</t>
  </si>
  <si>
    <t>Admin updates vehicle information.</t>
  </si>
  <si>
    <t>View vehicle list</t>
  </si>
  <si>
    <t>Display all vehicles in the system.</t>
  </si>
  <si>
    <t>View vehicle’s information (Parent)</t>
  </si>
  <si>
    <t>Parents view information of the vehicle assigned to their child.</t>
  </si>
  <si>
    <t>Create route</t>
  </si>
  <si>
    <t>Route Management</t>
  </si>
  <si>
    <t>Create a new shuttle route.</t>
  </si>
  <si>
    <t>Update route</t>
  </si>
  <si>
    <t>Update details of an existing route.</t>
  </si>
  <si>
    <t>View route detail</t>
  </si>
  <si>
    <t>Display details of a selected route.</t>
  </si>
  <si>
    <t>View all routes</t>
  </si>
  <si>
    <t>Display all available shuttle routes.</t>
  </si>
  <si>
    <t>Delete route</t>
  </si>
  <si>
    <t>Allow admins to remove a route.</t>
  </si>
  <si>
    <t>Assign driver/vehicle/supervisor to route</t>
  </si>
  <si>
    <t>Allow admins to assign staff/vehicles to a route.</t>
  </si>
  <si>
    <t>Create schedule</t>
  </si>
  <si>
    <t>Schedule Management</t>
  </si>
  <si>
    <t>Create a new shuttle schedule.</t>
  </si>
  <si>
    <t>Update schedule</t>
  </si>
  <si>
    <t>Update details of an existing schedule.</t>
  </si>
  <si>
    <t>View schedule detail</t>
  </si>
  <si>
    <t>Display details of a selected schedule.</t>
  </si>
  <si>
    <t>View shuttle schedule</t>
  </si>
  <si>
    <t>Parents and drivers can view the shuttle schedule.</t>
  </si>
  <si>
    <t>View all schedule</t>
  </si>
  <si>
    <t>Display all shuttle schedules.</t>
  </si>
  <si>
    <t>Add exception date</t>
  </si>
  <si>
    <t>Add exception dates (e.g., holidays, school closures).</t>
  </si>
  <si>
    <t>Add time overrides</t>
  </si>
  <si>
    <t>Override pickup/drop-off times for specific days.</t>
  </si>
  <si>
    <t>Delete schedule</t>
  </si>
  <si>
    <t>Add custom time settings for specific days.</t>
  </si>
  <si>
    <t xml:space="preserve">Delete exception date
</t>
  </si>
  <si>
    <t>Allow admins to remove exception dates.</t>
  </si>
  <si>
    <t>Update time overrides</t>
  </si>
  <si>
    <t>Edit overridden time settings.</t>
  </si>
  <si>
    <t>Delete time overrides</t>
  </si>
  <si>
    <t>Remove overridden time entries.</t>
  </si>
  <si>
    <t>Create trip</t>
  </si>
  <si>
    <t>Trip Management</t>
  </si>
  <si>
    <t>Create a new trip based on a schedule.</t>
  </si>
  <si>
    <t>Confirm manual check-in (Driver)</t>
  </si>
  <si>
    <t>Driver confirms the start of the trip.</t>
  </si>
  <si>
    <t>Delete trip</t>
  </si>
  <si>
    <t>Allow admins to delete a trip.</t>
  </si>
  <si>
    <t xml:space="preserve">View trip’s history </t>
  </si>
  <si>
    <t>Driver views the history of completed trips.</t>
  </si>
  <si>
    <t>Confirm manual check-out (Driver)</t>
  </si>
  <si>
    <t>Driver confirms the completion of the trip.</t>
  </si>
  <si>
    <t>Update trip</t>
  </si>
  <si>
    <t>Update details of an existing trip.</t>
  </si>
  <si>
    <t>View all trip</t>
  </si>
  <si>
    <t>Display all trips in the system.</t>
  </si>
  <si>
    <t>View trip detail</t>
  </si>
  <si>
    <t>Display details of a selected trip.</t>
  </si>
  <si>
    <t>Take attendance (Student)</t>
  </si>
  <si>
    <t>Attendance Management</t>
  </si>
  <si>
    <t>Allow students to check in via automated system.</t>
  </si>
  <si>
    <t>Take attendance manually (Supervisor)</t>
  </si>
  <si>
    <t>Allow supervisors to manually record attendance.</t>
  </si>
  <si>
    <t>View attendance report (Parent)</t>
  </si>
  <si>
    <t>Display the child’s attendance summary.</t>
  </si>
  <si>
    <t xml:space="preserve">View student list on bus-specific (Driver, Supervisor)
</t>
  </si>
  <si>
    <t>Display attendance for a specific bus trip.</t>
  </si>
  <si>
    <t>Track vehicle journey (Parent)</t>
  </si>
  <si>
    <t>Vehicle Status Monitoring</t>
  </si>
  <si>
    <t>Allow parents to track the live location of the bus.</t>
  </si>
  <si>
    <t>Trace all vehicle trips (Admin)</t>
  </si>
  <si>
    <t>Allow admins to monitor all vehicle journeys.</t>
  </si>
  <si>
    <t>View parent's notifications</t>
  </si>
  <si>
    <t>Notifications</t>
  </si>
  <si>
    <t>Display notifications sent to parents.</t>
  </si>
  <si>
    <t>View driver's notifications</t>
  </si>
  <si>
    <t>Display notifications for drivers.</t>
  </si>
  <si>
    <t>View supervisor's notifications</t>
  </si>
  <si>
    <t>Display notifications for supervisors.</t>
  </si>
  <si>
    <t>Update pickup/drop-off location</t>
  </si>
  <si>
    <t>Pickup/Drop-off Address Management</t>
  </si>
  <si>
    <t>Allow users to update pickup/drop-off addresses.</t>
  </si>
  <si>
    <t>Report incidents (Driver)</t>
  </si>
  <si>
    <t>Reporting</t>
  </si>
  <si>
    <t>Allow drivers to submit incident reports.</t>
  </si>
  <si>
    <t>Generate daily/monthly reports</t>
  </si>
  <si>
    <t>Allow admins to generate reports.</t>
  </si>
  <si>
    <t>View revenue</t>
  </si>
  <si>
    <t>Display revenue information.</t>
  </si>
  <si>
    <t>View statistics</t>
  </si>
  <si>
    <t>Display system performance or usage statistics.</t>
  </si>
  <si>
    <t>View historical logs</t>
  </si>
  <si>
    <t>Audit Logs</t>
  </si>
  <si>
    <t>Display system activity logs.</t>
  </si>
  <si>
    <t>Export logs to file</t>
  </si>
  <si>
    <t>Allow exporting logs for review.</t>
  </si>
  <si>
    <t>View school information</t>
  </si>
  <si>
    <t>School System Configuration</t>
  </si>
  <si>
    <t>Display school profile data.</t>
  </si>
  <si>
    <t>Update school information</t>
  </si>
  <si>
    <t>Allow admins to modify school details.</t>
  </si>
  <si>
    <t>Update school’s logo/images</t>
  </si>
  <si>
    <t>Allow admins to upload/update school images.</t>
  </si>
  <si>
    <t>Update school’s location</t>
  </si>
  <si>
    <t>Allow admins to modify school address/map location.</t>
  </si>
  <si>
    <t>Create unit price</t>
  </si>
  <si>
    <t>Allow admins to set pricing rules.</t>
  </si>
  <si>
    <t>Update unit price</t>
  </si>
  <si>
    <t>Allow admins to edit pricing values.</t>
  </si>
  <si>
    <t>Delete unit price</t>
  </si>
  <si>
    <t>Allow admins to remove pricing items.</t>
  </si>
  <si>
    <t>TEST STATISTICS</t>
  </si>
  <si>
    <t xml:space="preserve">EduBus School Bus Management System </t>
  </si>
  <si>
    <t>HuyNLQ, NguyetNTT, TrungNVT, NhiPTK, KhoiVN</t>
  </si>
  <si>
    <t>Reviewer/Approver</t>
  </si>
  <si>
    <t>Notes</t>
  </si>
  <si>
    <t>Module code</t>
  </si>
  <si>
    <t>Passed</t>
  </si>
  <si>
    <t>Failed</t>
  </si>
  <si>
    <t>Pending</t>
  </si>
  <si>
    <t>N/A</t>
  </si>
  <si>
    <t>Number of  test cases</t>
  </si>
  <si>
    <t>Sub total</t>
  </si>
  <si>
    <t>Test coverage</t>
  </si>
  <si>
    <t>%</t>
  </si>
  <si>
    <t>Test successful coverage</t>
  </si>
  <si>
    <t>Feature</t>
  </si>
  <si>
    <t>Test requirement</t>
  </si>
  <si>
    <t>Verifies the full auth flow—register, email/Google login, password reset, and logout—covering input validation, account status checks, security (rate-limit, token/redirect safety), session handling, and graceful error responses.</t>
  </si>
  <si>
    <t>Number of TCs</t>
  </si>
  <si>
    <t>Testing Round</t>
  </si>
  <si>
    <t>Round 1</t>
  </si>
  <si>
    <t>Round 2</t>
  </si>
  <si>
    <t>Round 3</t>
  </si>
  <si>
    <t>Test Case ID</t>
  </si>
  <si>
    <t>Test Case Description</t>
  </si>
  <si>
    <t>Test Case Procedure</t>
  </si>
  <si>
    <t>Expected Results</t>
  </si>
  <si>
    <t>Pre-conditions</t>
  </si>
  <si>
    <t>Test date</t>
  </si>
  <si>
    <t>Tester</t>
  </si>
  <si>
    <t>Note</t>
  </si>
  <si>
    <t>View user lists</t>
  </si>
  <si>
    <t>VIEW-USERS-001</t>
  </si>
  <si>
    <t>View user list with default settings</t>
  </si>
  <si>
    <t>1. Login as admin successfully.
2. Navigate to "/admin/users" page.
3. Check user list display.</t>
  </si>
  <si>
    <t>1. User list loads successfully.
2. Default 20 users per page are displayed.
3. Users are sorted by first name in ascending order.
4. Pagination controls are visible.
5. Search box and filter options are available.</t>
  </si>
  <si>
    <t>1. Admin is logged in.
2. System has users in database.</t>
  </si>
  <si>
    <t>TrungNVT</t>
  </si>
  <si>
    <t>HuyNLQ</t>
  </si>
  <si>
    <t>VIEW-USERS-002</t>
  </si>
  <si>
    <t>View user list with pagination</t>
  </si>
  <si>
    <t>1. Login as admin successfully.
2. Navigate to "/admin/users" page.
3. Click "Next" button to go to page 2.
4. Click "Previous" button to go back to page 1.
5. Change items per page to 50.</t>
  </si>
  <si>
    <t>1. Page 2 loads with different users.
2. Previous button works correctly.
3. Items per page changes to 50.
4. Pagination controls update correctly.
5. Total page count adjusts properly.</t>
  </si>
  <si>
    <t>1. Admin is logged in.
2. System has more than 20 users.</t>
  </si>
  <si>
    <t>VIEW-USERS-003</t>
  </si>
  <si>
    <t>Search users by name</t>
  </si>
  <si>
    <t>1. Login as admin successfully.
2. Navigate to "/admin/users" page.
3. Enter "John" in search box.
4. Press Enter key.
5. Check search results.</t>
  </si>
  <si>
    <t>1. Search results show only users with "John" in name.
2. Search is case-insensitive.
3. Results include first name and last name matches.
4. Pagination resets to page 1.
5. Search term is preserved in search box.</t>
  </si>
  <si>
    <t>1. Admin is logged in.
2. System has users with name "John".</t>
  </si>
  <si>
    <t>VIEW-USERS-004</t>
  </si>
  <si>
    <t>Filter users by status - Active</t>
  </si>
  <si>
    <t>1. Login as admin successfully.
2. Navigate to "/admin/users" page.
3. Select "Active" from status filter dropdown.
4. Check filtered results.</t>
  </si>
  <si>
    <t>1. Only active users are displayed.
2. Locked and deleted users are hidden.
3. User count updates correctly.
4. Pagination adjusts to filtered results.
5. Filter selection is preserved.</t>
  </si>
  <si>
    <t>1. Admin is logged in.
2. System has active users.</t>
  </si>
  <si>
    <t>VIEW-USERS-005</t>
  </si>
  <si>
    <t>Filter users by status - Locked</t>
  </si>
  <si>
    <t>1. Login as admin successfully.
2. Navigate to "/admin/users" page.
3. Select "Locked" from status filter dropdown.
4. Check filtered results.</t>
  </si>
  <si>
    <t>1. Only locked users are displayed.
2. Active and deleted users are hidden.
3. Lock status is clearly indicated.
4. Lock reason and expiry date are shown.
5. Filter works correctly.</t>
  </si>
  <si>
    <t>1. Admin is logged in.
2. System has locked users.</t>
  </si>
  <si>
    <t>VIEW-USERS-006</t>
  </si>
  <si>
    <t>View user list with no results</t>
  </si>
  <si>
    <t>1. Login as admin successfully.
2. Navigate to "/admin/users" page.
3. Enter "NonExistentUser" in search box.
4. Press Enter key.
5. Check empty state.</t>
  </si>
  <si>
    <t>1. "No users found" message is displayed.
2. Empty state is user-friendly.
3. Search box retains search term.
4. Pagination controls are hidden.
5. Clear search option is available.</t>
  </si>
  <si>
    <t>1. Admin is logged in.</t>
  </si>
  <si>
    <t>VIEW-USERS-007</t>
  </si>
  <si>
    <t>View user list with network error</t>
  </si>
  <si>
    <t>1. Login as admin successfully.
2. Navigate to "/admin/users" page.
3. Disconnect network connection.
4. Try to refresh page or navigate.
5. Check error handling.</t>
  </si>
  <si>
    <t>1. Error message "Network error" is displayed.
2. User list shows empty state.
3. Error message is user-friendly.
4. Retry option is available.
5. System handles error gracefully.</t>
  </si>
  <si>
    <t>1. Admin is logged in.
2. Network can be disconnected.</t>
  </si>
  <si>
    <t>VIEW-USERS-08</t>
  </si>
  <si>
    <t>View user list with backend unavailable</t>
  </si>
  <si>
    <t>1. Login as admin successfully.
2. Navigate to "/admin/users" page.
3. Stop backend server.
4. Try to refresh page.
5. Check error handling.</t>
  </si>
  <si>
    <t>1. Error message "Server unavailable" is displayed.
2. User list shows empty state.
3. Error message is clear and helpful.
4. Retry option is available.
5. System handles server error gracefully.</t>
  </si>
  <si>
    <t>1. Admin is logged in.
2. Backend server can be stopped.</t>
  </si>
  <si>
    <t>Round 1: Wrong message displayed: "Failed to fetch users"</t>
  </si>
  <si>
    <t>VIEW-USERS-09</t>
  </si>
  <si>
    <t>View user list with expired session</t>
  </si>
  <si>
    <t>1. Login as admin successfully.
2. Wait for session to expire.
3. Navigate to "/admin/users" page.
4. Try to view user list.
5. Check system behavior.</t>
  </si>
  <si>
    <t>1. User is redirected to login page.
2. Session expired message is displayed.
3. User list is not accessible.
4. User must login again.
5. Security is properly enforced.</t>
  </si>
  <si>
    <t>1. Admin is logged in.
2. Session can expire.</t>
  </si>
  <si>
    <t>VIEW-USERS-010</t>
  </si>
  <si>
    <t>View user list with non-admin user</t>
  </si>
  <si>
    <t>1. Login with driver or parent account.
2. Try to navigate to "/admin/users" page.
3. Check system behavior.</t>
  </si>
  <si>
    <t>1. Access is denied.
2. User is redirected to unauthorized page.
3. Error message "Access denied" is displayed.
4. Only admin can access user list.
5. Security is properly enforced.</t>
  </si>
  <si>
    <t>1. Driver or Parent account exists.</t>
  </si>
  <si>
    <t>VIEW-USERS-0011</t>
  </si>
  <si>
    <t>Sort users by name ascending</t>
  </si>
  <si>
    <t>1. Login as admin successfully.
2. Navigate to "/admin/users" page.
3. Click "Name" sort.
4. Check sort order.</t>
  </si>
  <si>
    <t>1. Users are sorted by first name A-Z.
2. Sort indicator shows ascending arrow.
3. All users on current page are sorted.
4. Sort persists across page changes.
5. Sort functionality works correctly.</t>
  </si>
  <si>
    <t>1. Admin is logged in.
2. System has users with different first names.</t>
  </si>
  <si>
    <t>VIEW-USERS-012</t>
  </si>
  <si>
    <t>Sort users by name descending</t>
  </si>
  <si>
    <t>1. Users are sorted by first name Z-A.
2. Sort indicator shows descending arrow.
3. Sort order is reversed correctly.
4. All users are properly sorted.
5. Sort functionality works as expected.</t>
  </si>
  <si>
    <t>WEB-VIEW-USERS-015</t>
  </si>
  <si>
    <t>Sort users by creation date ascending</t>
  </si>
  <si>
    <t>1. Login as admin successfully.
2. Navigate to "/admin/users" page.
3. Click "Created At" sort.
4. Check sort order.</t>
  </si>
  <si>
    <t>1. Users are sorted by creation date (oldest first).
2. Sort indicator shows ascending arrow.
3. All users on current page are sorted.
4. Sort persists across page changes.
5. Sort functionality works correctly.</t>
  </si>
  <si>
    <t>1. Admin is logged in.
2. System has users created on different dates.</t>
  </si>
  <si>
    <t>WEB-VIEW-USERS-016</t>
  </si>
  <si>
    <t>Sort users by creation date descending</t>
  </si>
  <si>
    <t>1. Users are sorted by creation date (newest first).
2. Sort indicator shows descending arrow.
3. Sort order is reversed correctly.
4. All users are properly sorted.
5. Sort functionality works as expected.</t>
  </si>
  <si>
    <t>Create parent account</t>
  </si>
  <si>
    <t>CR-PR-001</t>
  </si>
  <si>
    <t>Create parent with valid data.</t>
  </si>
  <si>
    <t>1. Login as admin successfully.
2. Navigate to "/create-account" page.
3. Select "Parent Account" tab.
4. Fill all required fields.
5. Click "Create New Account" button.</t>
  </si>
  <si>
    <t>1. Parent account is created successfully.
2. Success message is displayed.
3. Form is reset for next entry.</t>
  </si>
  <si>
    <t>Email is not already in use.</t>
  </si>
  <si>
    <t>CR-PR-002</t>
  </si>
  <si>
    <t>Create parent with duplicate email</t>
  </si>
  <si>
    <t>1. Login as admin successfully.
2. Navigate to "/create-account" page.
3. Select ""Parent Account"" tab.
4. Fill form with email that already exists in system.
5. Fill other required fields with valid data.
6. Click "Create New Account" button.</t>
  </si>
  <si>
    <t>1. Error message "Email already exists" is displayed.
2. Account creation fails.
3. Form data is preserved for correction.
4. User can modify email and retry.</t>
  </si>
  <si>
    <t>Email already exists in system.</t>
  </si>
  <si>
    <t>Create parent with empty required fields</t>
  </si>
  <si>
    <t>1. Login as admin successfully.
2. Navigate to "/create-account" page.
3. Select "Parent Account" tab.
4. Leave required fields empty.
5. Click "Create New Account" button.</t>
  </si>
  <si>
    <t>1. Validation errors are displayed for empty fields:
 - "Email is required"
 - "First name is required" 
 - "Last name is required"
 - "Phone number is required"
 - "Address is required"
 - "Gender is required"
 - "Date of birth is required"
2. Form submission is blocked.
3. User must fill required fields.</t>
  </si>
  <si>
    <t>1. Admin is logged in</t>
  </si>
  <si>
    <t>CR-PR-003</t>
  </si>
  <si>
    <t>Create parent with invalid email format</t>
  </si>
  <si>
    <t>1. Login as admin successfully.
2. Navigate to "/create-account" page.
3. Select "Parent Account" tab.
4. Enter invalid email format (e.g., "invalid-email").
5. Fill other required fields with valid data.
6. Click "Create New Account" button.</t>
  </si>
  <si>
    <t>1. Validation error "Invalid email format" is displayed.
2. Account creation fails.
3. Form submission is blocked.
4. User must correct email format.</t>
  </si>
  <si>
    <t>CR-PR-004</t>
  </si>
  <si>
    <t>Create parent with invalid phone number</t>
  </si>
  <si>
    <t>1. Login as admin successfully.
2. Navigate to "/create-account" page.
3. Select "Parent Account" tab.
4. Enter invalid phone number (e.g., "abc123").
5. Fill other required fields with valid data.
6. Click "Create New Account" button.</t>
  </si>
  <si>
    <t>1. Validation error "Invalid phone number format" is displayed.
2. Account creation fails.
3. Form submission is blocked.
4. User must correct phone number format.</t>
  </si>
  <si>
    <t>CR-PR-005</t>
  </si>
  <si>
    <t>Create parent with future date of birth</t>
  </si>
  <si>
    <t>1. Login as admin successfully.
2. Navigate to "/create-account" page.
3. Select "Parent Account" tab.
4. Enter future date for date of birth.
5. Fill other required fields with valid data.
6. Click "Create New Account" button.</t>
  </si>
  <si>
    <t>1. Validation error is displayed for invalid date.
2. Account creation fails.
3. Form submission is blocked.
4. User must enter valid past date.</t>
  </si>
  <si>
    <t>Round 1: Select the date of birth in the future</t>
  </si>
  <si>
    <t>CR-PR-006</t>
  </si>
  <si>
    <t>Create parent with very old date of birth</t>
  </si>
  <si>
    <t>1. Login as admin successfully.
2. Navigate to "/create-account" page.
3. Select "Parent Account" tab.
4. Enter very old date (e.g., 1900-01-01).
5. Fill other required fields with valid data.
6. Click "Create New Account" button.</t>
  </si>
  <si>
    <t>1. Validation error for invalid age is displayed.
2. Account creation fails.
3. Form submission is blocked.
4. User must enter reasonable birth date.</t>
  </si>
  <si>
    <t>Round 1: Select very old date of birth</t>
  </si>
  <si>
    <t>CR-PR-007</t>
  </si>
  <si>
    <t>Create parent with special characters in name</t>
  </si>
  <si>
    <t>1. Login as admin successfully.
2. Navigate to "/create-account" page.
3. Select "Parent Account" tab.
4. Enter names with special characters (e.g., "JosÃ© MarÃ­a").
5. Fill other required fields with valid data.
6. Click "Create New Account" button.</t>
  </si>
  <si>
    <t>1. Parent account is created successfully.
2. Special characters are handled properly.
3. Success message is displayed.
4. Data is stored correctly in database.</t>
  </si>
  <si>
    <t>1. Admin is logged in.
2. Email is not already in use.</t>
  </si>
  <si>
    <t>Round 1: Special characters can be entered for first name and last name.</t>
  </si>
  <si>
    <t>CR-PR-008</t>
  </si>
  <si>
    <t>Create parent with long address</t>
  </si>
  <si>
    <t>1. Login as admin successfully.
2. Navigate to "/create-account" page.
3. Select "Parent Account" tab.
4. Enter very long address (500+ characters).
5. Fill other required fields with valid data.
6. Click "Create New Account" button.</t>
  </si>
  <si>
    <t>1. Parent account is created successfully.
2. Long address is handled properly.
3. Success message is displayed.
4. Data is stored correctly in database.</t>
  </si>
  <si>
    <t>Round 1: No character limit for addresses</t>
  </si>
  <si>
    <t>CR-PR-009</t>
  </si>
  <si>
    <t>Create parent with backend unavailable</t>
  </si>
  <si>
    <t>1. Login as admin successfully.
2. Navigate to "/create-account" page.
3. Select "Parent Account" tab.
4. Fill form with valid data.
5. Stop backend server.
6. Click "Create New Account" button.</t>
  </si>
  <si>
    <t>1. Error message "Server unavailable" is displayed.
2. Account creation fails.
3. Form data is preserved.
4. User can retry when backend is restored.</t>
  </si>
  <si>
    <t>Round 1: Wrong message displayed: "Parent creation failed. Data was not saved to the database."</t>
  </si>
  <si>
    <t>CR-PR-010</t>
  </si>
  <si>
    <t>Create parent with expired session</t>
  </si>
  <si>
    <t>1. Login as admin successfully.
2. Wait for session to expire.
3. Navigate to "/create-account" page.
4. Select "Parent Account" tab.
5. Fill form with valid data.
6. Click "Create New Account" button.</t>
  </si>
  <si>
    <t>1. User is redirected to login page.
2. Account creation fails.
3. Session expired message is displayed.
4. User must login again.</t>
  </si>
  <si>
    <t>CR-PR-011</t>
  </si>
  <si>
    <t>Create parent with browser refresh during submission</t>
  </si>
  <si>
    <t>1. Login as admin successfully.
2. Navigate to "/create-account" page.
3. Select "Parent Account" tab.
4. Fill form with valid data.
5. Click "Create New Account" button.
6. Refresh browser immediately after clicking.</t>
  </si>
  <si>
    <t>1. Account creation may succeed or fail.
2. No duplicate accounts are created.
3. System handles refresh gracefully.
4. User can verify account status.</t>
  </si>
  <si>
    <t>CR-PR-012</t>
  </si>
  <si>
    <t>Create parent with multiple rapid submissions</t>
  </si>
  <si>
    <t>1. Login as admin successfully.
2. Navigate to "/create-account" page.
3. Select "Parent Account" tab.
4. Fill form with valid data.
5. Click "Create New Account" button multiple times rapidly.</t>
  </si>
  <si>
    <t>1. Only one account is created.
2. Duplicate submissions are prevented.
3. Success message is displayed once.
4. Button is disabled during processing.</t>
  </si>
  <si>
    <t>CR-PR-013</t>
  </si>
  <si>
    <t>Create parent with different gender options</t>
  </si>
  <si>
    <t>1. Login as admin successfully.
2. Navigate to "/create-account" page.
3. Select "Parent Account" tab.
4. Test each gender option:
   - Male
   - Female
   - Other
5. Fill other required fields with valid data.
6. Click "Create New Account" button for each.</t>
  </si>
  <si>
    <t>1. All gender options work correctly.
2. Accounts are created successfully for each gender.
3. Gender data is stored correctly in database.
4. Success messages are displayed.</t>
  </si>
  <si>
    <t>1. Admin is logged in.
2. Different emails for each test.</t>
  </si>
  <si>
    <t>CR-PR-014</t>
  </si>
  <si>
    <t>Create parent with minimum age validation</t>
  </si>
  <si>
    <t>1. Login as admin successfully.
2. Navigate to "/create-account" page.
3. Select "Parent Account" tab.
4. Enter date of birth making parent exactly 18 years old.
5. Fill other required fields with valid data.
6. Click "Create New Account" button.</t>
  </si>
  <si>
    <t>1. Parent account is created successfully.
2. Age validation passes for 18-year-old.
3. Success message is displayed.
4. Account is created without issues.</t>
  </si>
  <si>
    <t>CR-PR-015</t>
  </si>
  <si>
    <t>Create parent with maximum age validation</t>
  </si>
  <si>
    <t>1. Login as admin successfully.
2. Navigate to "/create-account" page.
3. Select "Parent Account" tab.
4. Enter date of birth making parent 100 years old.
5. Fill other required fields with valid data.
6. Click "Create New Account" button.</t>
  </si>
  <si>
    <t>1. Validation error for maximum age is displayed.
2. Account creation fails.
3. Form submission is blocked.
4. User must enter reasonable age.</t>
  </si>
  <si>
    <t>Round 1: No maximum age limit</t>
  </si>
  <si>
    <t>CR-PR-016</t>
  </si>
  <si>
    <t>Create parent with non-admin user access</t>
  </si>
  <si>
    <t>1. Login with driver or parent account.
2. Try to navigate to "/create-account" page.
3. Check system behavior.</t>
  </si>
  <si>
    <t>1. Access is denied.
2. User is redirected to unauthorized page.
3. Error message "Access denied" is displayed.
4. Only admin can access create account page.</t>
  </si>
  <si>
    <t>CR-PR-017</t>
  </si>
  <si>
    <t>Create parent with form field limits</t>
  </si>
  <si>
    <t>1. Login as admin successfully.
2. Navigate to "/create-account" page.
3. Select "Parent Account" tab.
4. Test field character limits:
   - Very long names (100+ characters)
   - Very long email (100+ characters)
5. Fill other required fields with valid data.
6. Click "Create New Account" button.</t>
  </si>
  <si>
    <t>1. Field limits are enforced properly.
2. Validation errors are displayed for excessive length.
3. Account creation fails for invalid lengths.
4. User must enter reasonable field lengths.</t>
  </si>
  <si>
    <t>Round 1: No character length limit for input fields</t>
  </si>
  <si>
    <t>CR-PR-01̣8</t>
  </si>
  <si>
    <t>Import parents from valid Excel file</t>
  </si>
  <si>
    <t>1. Login as admin successfully.
2. Navigate to "/create-account" page.
3. Select "Parent Account" tab.
4. Click "Upload" button.
5. Select valid Excel file with parent data.
6. Click "Import" button.</t>
  </si>
  <si>
    <t>1. Excel file is processed successfully.
2. Import results are displayed showing:
   - Total processed count
   - Successfully imported parents
   - Failed imports with reasons
3. Successfully imported parents can login.
4. Failed records show specific error messages.</t>
  </si>
  <si>
    <t>1. Admin is logged in.
2. Valid Excel file with correct format exists.</t>
  </si>
  <si>
    <t>CR-PR-019</t>
  </si>
  <si>
    <t>Import parents from invalid file format</t>
  </si>
  <si>
    <t>1. Login as admin successfully.
2. Navigate to "/create-account" page.
3. Select "Parent Account" tab.
4. Click "Upload" button.
5. Select invalid file format (e.g., .txt, .pdf, .docx).
6. Click "Import" button.</t>
  </si>
  <si>
    <t>1. Error message "Invalid file format. Only .xlsx files are supported" is displayed.
2. Import process is blocked.
3. User must select correct file format.
4. No data is processed.</t>
  </si>
  <si>
    <t>1. Admin is logged in.
2. Invalid file format exists.</t>
  </si>
  <si>
    <t>CR-PR-020</t>
  </si>
  <si>
    <t>Import parents from empty Excel file</t>
  </si>
  <si>
    <t>1. Login as admin successfully.
2. Navigate to "/create-account" page.
3. Select "Parent Account" tab.
4. Click "Upload" button.
5. Select empty Excel file.
6. Click "Import" button.</t>
  </si>
  <si>
    <t>1. Error message "No data to import" is displayed.
2. Import process fails gracefully.
3. User is informed about empty file.
4. No accounts are created.</t>
  </si>
  <si>
    <t>1. Admin is logged in.
2. Empty Excel file exists.</t>
  </si>
  <si>
    <t>CR-PR-021</t>
  </si>
  <si>
    <t>Import parents with duplicate emails</t>
  </si>
  <si>
    <t>1. Login as admin successfully.
2. Navigate to "/create-account" page.
3. Select "Parent Account" tab.
4. Click "Upload" button.
5. Select Excel file with duplicate email addresses.
6. Click "Import" button.</t>
  </si>
  <si>
    <t>1. Import process completes with mixed results.
2. First occurrence of email is imported successfully.
3. Duplicate emails are marked as failed with "Email already exists" error.
4. Import results show both success and failure counts.</t>
  </si>
  <si>
    <t>1. Admin is logged in.
2. Excel file with duplicate emails exists.</t>
  </si>
  <si>
    <t>CR-PR-022</t>
  </si>
  <si>
    <t>Import parents with missing required fields</t>
  </si>
  <si>
    <t>1. Login as admin successfully.
2. Navigate to "/create-account" page.
3. Select "Parent Account" tab.
4. Click "Upload" button.
5. Select Excel file with missing required fields.
6. Click "Import" button.</t>
  </si>
  <si>
    <t>1. Import process completes with validation errors.
2. Records with missing fields are marked as failed.
3. Specific error messages are shown for each missing field.
4. Valid records are imported successfully.
5. Import results show detailed failure reasons.</t>
  </si>
  <si>
    <t>1. Admin is logged in.
2. Excel file with missing fields exists.</t>
  </si>
  <si>
    <t>CR-PR-023</t>
  </si>
  <si>
    <t>Import parents with invalid data formats</t>
  </si>
  <si>
    <t>1. Login as admin successfully.
2. Navigate to "/create-account" page.
3. Select "Parent Account" tab.
4. Click "Upload" button.
5. Select Excel file with invalid data formats (invalid email, phone, date).
6. Click "Import" button.</t>
  </si>
  <si>
    <t>1. Import process completes with validation errors.
2. Records with invalid formats are marked as failed.
3. Specific validation error messages are displayed.
4. Valid records are imported successfully.
5. User can see which records failed and why.</t>
  </si>
  <si>
    <t>1. Admin is logged in.
2. Excel file with invalid formats exists.</t>
  </si>
  <si>
    <t>CR-PR-024</t>
  </si>
  <si>
    <t>Import parents with large Excel file</t>
  </si>
  <si>
    <t>1. Login as admin successfully.
2. Navigate to "/create-account" page.
3. Select "Parent Account" tab.
4. Click "Upload" button.
5. Select Excel file with 1000+ parent records.
6. Click "Import" button.</t>
  </si>
  <si>
    <t>1. Import process handles large file successfully.
2. Progress indicator is displayed during import.
3. All valid records are imported.
4. Import results show accurate counts.
5. System performance remains stable.</t>
  </si>
  <si>
    <t>1. Admin is logged in.
2. Large Excel file (1000+ records) exists.</t>
  </si>
  <si>
    <t>CR-PR-025</t>
  </si>
  <si>
    <t>Import parents with network interruption</t>
  </si>
  <si>
    <t>1. Login as admin successfully.
2. Navigate to "/create-account" page.
3. Select "Parent Account" tab.
4. Click "Upload" button.
5. Select Excel file and start import.
6. Disconnect network during import process.</t>
  </si>
  <si>
    <t>1. Import process fails with network error.
2. Error message "Network error" is displayed.
3. No partial data is imported.
4. User can retry when network is restored.
5. File selection is preserved.</t>
  </si>
  <si>
    <t>CR-PR-026</t>
  </si>
  <si>
    <t>Import parents with backend unavailable</t>
  </si>
  <si>
    <t>1. Login as admin successfully.
2. Navigate to "/create-account" page.
3. Select "Parent Account" tab.
4. Click "Upload" button.
5. Select Excel file and start import.
6. Stop backend server during import.</t>
  </si>
  <si>
    <t>1. Import process fails with server error.
2. Error message "Server unavailable" is displayed.
3. No partial data is imported.
4. User can retry when backend is restored.
5. File selection is preserved.</t>
  </si>
  <si>
    <t>CR-PR-027</t>
  </si>
  <si>
    <t>Download parent import template</t>
  </si>
  <si>
    <t>1. Login as admin successfully.
2. Navigate to "/create-account" page.
3. Select "Parent Account" tab.
4. Click "Download Template" button.
5. Check downloaded file.</t>
  </si>
  <si>
    <t>1. Excel template file is downloaded successfully.
2. Template contains correct column headers:
   - Email
   - First Name
   - Last Name
   - Phone Number
   - Gender
   - Date of Birth
   - Address
3. Template includes sample data and instructions.
4. File can be opened and edited.</t>
  </si>
  <si>
    <t>CR-PR-028</t>
  </si>
  <si>
    <t>Import parents with template format</t>
  </si>
  <si>
    <t>1. Login as admin successfully.
2. Navigate to "/create-account" page.
3. Select "Parent Account" tab.
4. Download template and fill with valid data.
5. Upload filled template file.
6. Click "Import" button.</t>
  </si>
  <si>
    <t>1. Import process completes successfully.
2. All records from template are imported.
3. Data matches template format exactly.
4. Success message is displayed.
5. Imported parents can login.</t>
  </si>
  <si>
    <t>1. Admin is logged in.
2. Template is downloaded and filled correctly.</t>
  </si>
  <si>
    <t>CR-PR-029</t>
  </si>
  <si>
    <t>Import parents with wrong column order</t>
  </si>
  <si>
    <t>1. Login as admin successfully.
2. Navigate to "/create-account" page.
3. Select "Parent Account" tab.
4. Click "Upload" button.
5. Select Excel file with columns in wrong order.
6. Click "Import" button.</t>
  </si>
  <si>
    <t>1. Import process fails or produces incorrect results.
2. Error message about column format is displayed.
3. Data mapping is incorrect.
4. User must use correct template format.
5. No accounts are created with wrong data.</t>
  </si>
  <si>
    <t>1. Admin is logged in.
2. Excel file with wrong column order exists.</t>
  </si>
  <si>
    <t>CR-PR-030</t>
  </si>
  <si>
    <t>Import parents with non-admin user</t>
  </si>
  <si>
    <t>1. Login with driver or parent account.
2. Try to navigate to "/create-account" page.
3. Check if import functionality is accessible.</t>
  </si>
  <si>
    <t>1. Access is denied.
2. User is redirected to unauthorized page.
3. Error message "Access denied" is displayed.
4. Only admin can access import functionality.
5. Import button is not visible.</t>
  </si>
  <si>
    <t>CR-PR-031</t>
  </si>
  <si>
    <t>Import parents with expired session</t>
  </si>
  <si>
    <t>1. Login as admin successfully.
2. Wait for session to expire.
3. Navigate to "/create-account" page.
4. Select "Parent Account" tab.
5. Click "Upload" button.
6. Select Excel file and try to import.</t>
  </si>
  <si>
    <t>1. User is redirected to login page.
2. Import process fails.
3. Session expired message is displayed.
4. User must login again to continue.
5. File selection is lost.</t>
  </si>
  <si>
    <t>CR-PR-032</t>
  </si>
  <si>
    <t>Import parents with mixed valid/invalid data</t>
  </si>
  <si>
    <t>1. Login as admin successfully.
2. Navigate to "/create-account" page.
3. Select "Parent Account" tab.
4. Click "Upload" button.
5. Select Excel file with mixed valid and invalid data.
6. Click "Import" button.</t>
  </si>
  <si>
    <t>1. Import process completes with mixed results.
2. Valid records are imported successfully.
3. Invalid records are marked as failed with specific reasons.
4. Import results show detailed breakdown.
5. User can see which records succeeded and failed.</t>
  </si>
  <si>
    <t>1. Admin is logged in.
2. Excel file with mixed data exists.</t>
  </si>
  <si>
    <t>Create driver account</t>
  </si>
  <si>
    <t>DRIVER-033</t>
  </si>
  <si>
    <t>Create driver account with valid basic data</t>
  </si>
  <si>
    <t>1. Navigate to Create Account page 
2. Select "Driver" account type 
3. Fill email: "driver@example.com" 
4. Fill firstName: "John" 
5. Fill lastName: "Doe" 
6. Fill phoneNumber: "0123456789" 
7. Select gender: "Male" 
8. Set dateOfBirth: "1985-01-01" 
9. Fill address: "123 Main St" 
10. Click "Create New Account"</t>
  </si>
  <si>
    <t>1. Success message displayed 
2. Temporary password shown in alert 
3. Form reset after creation
4. Driver account created in database 
5. No welcome email sent (unlike parent)</t>
  </si>
  <si>
    <t>Admin logged in</t>
  </si>
  <si>
    <t>DRIVER-034</t>
  </si>
  <si>
    <t>Create driver account with duplicate email</t>
  </si>
  <si>
    <t>1. Navigate to Create Account page 
2. Select "Driver" account type 
3. Fill email: "existing@example.com" (already exists)
4. Fill other required fields 
5. Click "Create New Account"</t>
  </si>
  <si>
    <t>1. Error message "Email already exists in the system" 
2. Form submission blocked 
3. Account not created</t>
  </si>
  <si>
    <t>Admin logged in, email already exists</t>
  </si>
  <si>
    <t>DRIVER-035</t>
  </si>
  <si>
    <t>Create driver account with duplicate phone number</t>
  </si>
  <si>
    <t>1. Navigate to Create Account page
2. Select "Driver" account type
3. Fill phoneNumber: "0987654321" (already exists) 
4. Fill other required fields 
5. Click "Create New Account"</t>
  </si>
  <si>
    <t>1. Error message "Phone number already exists in the system" 
2. Form submission blocked 
3. Account not created</t>
  </si>
  <si>
    <t>Admin logged in, phone already exists</t>
  </si>
  <si>
    <t>DRIVER-036</t>
  </si>
  <si>
    <t>Create driver account with invalid email format</t>
  </si>
  <si>
    <t>1. Navigate to Create Account page 
2. Select "Driver" account type 
3. Fill email: "invalid-email" 
4. Fill other required fields 
5. Click "Create New Account"</t>
  </si>
  <si>
    <t>1. Validation error "Invalid email format" 
2. Form submission blocked 
3. Account not created</t>
  </si>
  <si>
    <t xml:space="preserve">Admin logged in  </t>
  </si>
  <si>
    <t>DRIVER-037</t>
  </si>
  <si>
    <t>Create driver account with missing required fields</t>
  </si>
  <si>
    <t>1. Navigate to Create Account page 
2. Select "Driver" account type 
3. Leave firstName empty 
4. Fill other required fields 
5. Click "Create New Account"</t>
  </si>
  <si>
    <t>1. Validation error "First Name is required" 
2. Form submission blocked 
3. Account not created</t>
  </si>
  <si>
    <t>DRIVER-038</t>
  </si>
  <si>
    <t>Create driver account with future date of birth</t>
  </si>
  <si>
    <t>1. Navigate to Create Account page 
2. Select "Driver" account type 
3. Set dateOfBirth: "2030-01-01" 
4. Fill other required fields 
5. Click "Create New Account"</t>
  </si>
  <si>
    <t>1. Validation error "Date of birth cannot be in the future" 
2. Form submission blocked 
3. Account not created</t>
  </si>
  <si>
    <t>DRIVER-039</t>
  </si>
  <si>
    <t>Create driver account with empty phone number</t>
  </si>
  <si>
    <t>1. Navigate to Create Account page 
2. Select "Driver" account type 
3. Leave phoneNumber empty 
4. Fill other required fields 
5. Click "Create New Account"</t>
  </si>
  <si>
    <t>1. Validation error "Phone Number is required" 
2. Form submission blocked 
3. Account not created</t>
  </si>
  <si>
    <t>DRIVER-040</t>
  </si>
  <si>
    <t>Create driver account with empty address</t>
  </si>
  <si>
    <t>1. Navigate to Create Account page 
2. Select "Driver" account type 
3. Leave address empty 
4. Fill other required fields 
5. Click "Create New Account"</t>
  </si>
  <si>
    <t>1. Validation error "Address is required" 
2. Form submission blocked 
3. Account not created</t>
  </si>
  <si>
    <t>DRIVER-041</t>
  </si>
  <si>
    <t>Create driver account with empty gender</t>
  </si>
  <si>
    <t>1. Navigate to Create Account page 
2. Select "Driver" account type 
3. Leave gender unselected 
4. Fill other required fields 
5. Click "Create New Account"</t>
  </si>
  <si>
    <t>1. Validation error "Gender is required" 
2. Form submission blocked 
3. Account not created</t>
  </si>
  <si>
    <t>DRIVER-042</t>
  </si>
  <si>
    <t>Create driver account with empty date of birth</t>
  </si>
  <si>
    <t>1. Navigate to Create Account page 
2. Select "Driver" account type 
3. Fill all required fields 
4. Upload driver photo (image file) 
5. Click "Create New Account"</t>
  </si>
  <si>
    <t>1. Validation error "Date of Birth is required" 
2. Form submission blocked 
3. Account not created</t>
  </si>
  <si>
    <t>DRIVER-043</t>
  </si>
  <si>
    <t>Create driver account with driver photo upload</t>
  </si>
  <si>
    <t>1. Driver account created successfully 
2. Driver photo uploaded
3. Photo file saved to server 
4. Success message displayed</t>
  </si>
  <si>
    <t>Admin logged in, valid image file</t>
  </si>
  <si>
    <t>DRIVER-044</t>
  </si>
  <si>
    <t>Create driver account with health certificate upload</t>
  </si>
  <si>
    <t>1. Navigate to Create Account page 
2. Select "Driver" account type 
3. Fill all required fields 
4. Upload health certificate (image file) 
5. Click "Create New Account"</t>
  </si>
  <si>
    <t>1. Driver account created successfully 
2. Health certificate uploaded 
3. Certificate file saved to server 
4. Success message displayed</t>
  </si>
  <si>
    <t>DRIVER-045</t>
  </si>
  <si>
    <t>Create driver account with invalid file type</t>
  </si>
  <si>
    <t>1. Navigate to Create Account page 
2. Select "Driver" account type 
3. Fill all required fields 
4. Upload non-image file (e.g., .txt) 
5. Click "Create New Account"</t>
  </si>
  <si>
    <t>1. Validation error "Only image files are allowed" 
2. File upload blocked 
3. Account creation continues without file</t>
  </si>
  <si>
    <t>DRIVER-046</t>
  </si>
  <si>
    <t>Create driver account with driver license information</t>
  </si>
  <si>
    <t>1. Navigate to Create Account page 
2. Select "Driver" account type 
3. Fill all required fields 
4. Fill licenseNumber: "DL123456" 
5. Set dateOfIssue: "2020-01-01" 
6. Fill issuedBy: "Traffic Department" 
7. Click "Create New Account"</t>
  </si>
  <si>
    <t>1. Driver account created successfully 
2. Driver license created 
3. License information saved 
4. Success message displayed</t>
  </si>
  <si>
    <t>DRIVER-047</t>
  </si>
  <si>
    <t>Create driver account with license images upload</t>
  </si>
  <si>
    <t>1. Navigate to Create Account page 
2. Select "Driver" account type 
3. Fill all required fields + license info 
4. Upload license images (multiple files) 
5. Click "Create New Account"</t>
  </si>
  <si>
    <t>1. Driver account created successfully 
2. Driver license created 
3. License images uploaded 
4. All files saved to server 
5. Success message displayed</t>
  </si>
  <si>
    <t xml:space="preserve">Admin logged in, valid image files	</t>
  </si>
  <si>
    <t>DRIVER-048</t>
  </si>
  <si>
    <t>Create driver account with incomplete license info</t>
  </si>
  <si>
    <t>1. Navigate to Create Account page 
2. Select "Driver" account type 
3. Fill all required fields 
4. Fill only licenseNumber (missing dateOfIssue, issuedBy) 
5. Click "Create New Account"</t>
  </si>
  <si>
    <t>1. Driver account created successfully 
2. Driver license NOT created (incomplete info) 
3. Warning message about incomplete license 
4. Account creation continues</t>
  </si>
  <si>
    <t>DRIVER-049</t>
  </si>
  <si>
    <t>Create driver account with license number too short</t>
  </si>
  <si>
    <t>1. Navigate to Create Account page 
2. Select "Driver" account type 
3. Fill all required fields 
4. Fill licenseNumber: "123" (too short) 
5. Fill other license fields 
6. Click "Create New Account"</t>
  </si>
  <si>
    <t>1. Driver account created successfully 
2. Error message "License number must be at least 5 characters" 
3. Driver license NOT created 
4. Account creation continues</t>
  </si>
  <si>
    <t>DRIVER-050</t>
  </si>
  <si>
    <t>Import drivers from Excel file</t>
  </si>
  <si>
    <t>1. Admin login to system 
2. Navigate to Create Account page 
3. Select "Driver" account type 
4. Click "Upload Excel" 
5. Select valid Excel file with driver data
6. Click "Import"</t>
  </si>
  <si>
    <t>1. Success message with import results 
2. Successful drivers created 
3. Failed records listed with errors 
4. Temporary passwords generated for each driver</t>
  </si>
  <si>
    <t>Admin logged in, valid Excel file</t>
  </si>
  <si>
    <t>DRIVER-051</t>
  </si>
  <si>
    <t>Import drivers with invalid Excel format</t>
  </si>
  <si>
    <t>1. Admin login to system 
2. Navigate to Create Account page 
3. Select "Driver" account type 
4. Click "Upload Excel" 
5. Select invalid file (not .xlsx) 
6. Click "Import"</t>
  </si>
  <si>
    <t>1. Error message "Invalid file format. Only .xlsx files are supported" 
2. Import blocked 
3. No accounts created</t>
  </si>
  <si>
    <t>DRIVER-052</t>
  </si>
  <si>
    <t>Import drivers with duplicate emails in Excel</t>
  </si>
  <si>
    <t>1. Admin login to system 
2. Navigate to Create Account page 
3. Select "Driver" account type 
4. Click "Upload Excel" 
5. Select Excel file with duplicate emails 
6. Click "Import"</t>
  </si>
  <si>
    <t>1. Import results show duplicate email errors 
2. First occurrence processed successfully 
3. Subsequent duplicates marked as failed 
4. Error message "Duplicate email found in Excel file"</t>
  </si>
  <si>
    <t>Admin logged in, Excel with duplicates</t>
  </si>
  <si>
    <t>DRIVER-053</t>
  </si>
  <si>
    <t>Import drivers with duplicate phones in Excel</t>
  </si>
  <si>
    <t>1. Admin login to system 
2. Navigate to Create Account page 
3. Select "Driver" account type 
4. Click "Upload Excel" 
5. Select Excel file with duplicate phone numbers 
6. Click "Import"</t>
  </si>
  <si>
    <t>1. Import results show duplicate phone errors 
2. First occurrence processed successfully 
3. Subsequent duplicates marked as failed 
4. Error message "Duplicate phone number found in Excel file"</t>
  </si>
  <si>
    <t>DRIVER-054</t>
  </si>
  <si>
    <t>Export drivers to Excel</t>
  </si>
  <si>
    <t>1. Admin login to system 
2. Navigate to Create Account page 
3. Select "Driver" account type 
4. Click "Download Template" 
5. Verify downloaded file</t>
  </si>
  <si>
    <t>1. Excel file downloaded successfully 
2. File contains driver data 
3. File format is .xlsx 
4. All driver records included</t>
  </si>
  <si>
    <t>Admin logged in, drivers exist in system</t>
  </si>
  <si>
    <t>DRIVER-055</t>
  </si>
  <si>
    <t>Create driver account with all optional files</t>
  </si>
  <si>
    <t>1. Navigate to Create Account page 
2. Select "Driver" account type 
3. Fill all required fields + license info 
4. Upload driver photo 
5. Upload health certificate 
6. Upload license images 
7. Click "Create New Account"</t>
  </si>
  <si>
    <t>1. Driver account created successfully 
2. Driver license created 
3. All files uploaded successfully 
4. All uploads completed in background 
5. Success message displayed</t>
  </si>
  <si>
    <t xml:space="preserve">Admin logged in, valid files	</t>
  </si>
  <si>
    <t>DRIVER-056</t>
  </si>
  <si>
    <t>Create driver account with large file upload</t>
  </si>
  <si>
    <t>1. Navigate to Create Account page 
2. Select "Driver" account type 
3. Fill all required fields 
4. Upload very large image file (&gt;10MB) 
5. Click "Create New Account"</t>
  </si>
  <si>
    <t>1. Driver account created successfully 
2. File upload may fail due to size limit 
3. Warning message about file size 
4. Account creation continues</t>
  </si>
  <si>
    <t>Admin logged in, large file</t>
  </si>
  <si>
    <t>DRIVER-057</t>
  </si>
  <si>
    <t>Create driver account with special characters in name</t>
  </si>
  <si>
    <t>1. Navigate to Create Account page 
2. Select "Driver" account type 
3. Fill firstName: "José" 
4. Fill lastName: "García-López" 
5. Fill other required fields 
6. Click "Create New Account"</t>
  </si>
  <si>
    <t>1. Driver account created successfully 
2. Special characters handled properly 
3. Name displayed correctly in system 
4. Success message displayed</t>
  </si>
  <si>
    <t>Ban/unban users</t>
  </si>
  <si>
    <t>BAN-USER-001</t>
  </si>
  <si>
    <t>Ban single user with reason and expiry date</t>
  </si>
  <si>
    <t>1. Login as admin successfully.
2. Navigate to "/admin/users" page.
3. Find an active user in the list.
4. Click "Lock" button for that user.
5. Fill in lock reason: "Policy violation".
6. Set lock expiry date to tomorrow.
7. Click "Confirm Lock" button.</t>
  </si>
  <si>
    <t>1. Lock modal opens successfully.
2. Form validation works correctly.
3. User is locked successfully.
4. Success message "User locked successfully" is displayed.
5. User status changes to "Locked" in the list.
6. Lock reason and expiry date are shown.</t>
  </si>
  <si>
    <t>BAN-USER-002</t>
  </si>
  <si>
    <t>Ban single user without expiry date</t>
  </si>
  <si>
    <t>1. Login as admin successfully.
2. Navigate to "/admin/users" page.
3. Find an active user in the list.
4. Click "Lock" button for that user.
5. Fill in lock reason: "Suspicious activity".
6. Leave expiry date empty (permanent lock).
7. Click "Confirm Lock" button.</t>
  </si>
  <si>
    <t>1. Lock modal opens successfully.
2. User is locked permanently.
3. Success message "User locked successfully" is displayed.
4. User status changes to "Locked" in the list.
5. No expiry date is shown (permanent lock).
6. Lock reason is displayed.</t>
  </si>
  <si>
    <t>Round 1:  the account was only locked for 1 day</t>
  </si>
  <si>
    <t>BAN-USER-003</t>
  </si>
  <si>
    <t>Ban single user without reason</t>
  </si>
  <si>
    <t>1. Login as admin successfully.
2. Navigate to "/admin/users" page.
3. Find an active user in the list.
4. Click "Lock" button for that user.
5. Leave reason field empty.
6. Set expiry date to next week.
7. Click "Confirm Lock" button.</t>
  </si>
  <si>
    <t>1. Lock modal opens successfully.
2. Default reason "Locked by admin" is used.
3. User is locked successfully.
4. Success message "User locked successfully" is displayed.
5. User status changes to "Locked" in the list.
6. Default reason is shown.</t>
  </si>
  <si>
    <t>BAN-USER-004</t>
  </si>
  <si>
    <t>Ban multiple users at once</t>
  </si>
  <si>
    <t>1. Login as admin successfully.
2. Navigate to "/admin/users" page.
3. Select multiple active users using checkboxes.
4. Click "Lock Selected" button.
5. Fill in lock reason: "Bulk violation".
6. Set expiry date to next month.
7. Click "Confirm Lock" button.</t>
  </si>
  <si>
    <t>1. Multiple users are selected successfully.
2. Bulk lock modal opens.
3. All selected users are locked successfully.
4. Success message shows count of locked users.
5. All selected users status changes to "Locked".
6. Lock reason and expiry are applied to all users.</t>
  </si>
  <si>
    <t>1. Admin is logged in.
2. System has multiple active users.</t>
  </si>
  <si>
    <t>BAN-USER-005</t>
  </si>
  <si>
    <t>Unban single locked user</t>
  </si>
  <si>
    <t>1. Login as admin successfully.
2. Navigate to "/admin/users" page.
3. Filter users by "Locked" status.
4. Find a locked user in the list.
5. Click "Unlock" button for that user.
6. Confirm unlock action.</t>
  </si>
  <si>
    <t>1. Locked users are displayed in filter.
2. Unlock confirmation dialog appears.
3. User is unlocked successfully.
4. Success message "User unlocked successfully" is displayed.
5. User status changes to "Active" in the list.
6. Lock information is removed.</t>
  </si>
  <si>
    <t>BAN-USER-006</t>
  </si>
  <si>
    <t>Unban multiple locked users</t>
  </si>
  <si>
    <t>1. Login as admin successfully.
2. Navigate to "/admin/users" page.
3. Filter users by "Locked" status.
4. Select multiple locked users using checkboxes.
5. Click "Unlock Selected" button.
6. Confirm bulk unlock action.</t>
  </si>
  <si>
    <t>1. Locked users are displayed in filter.
2. Multiple users are selected successfully.
3. Bulk unlock confirmation dialog appears.
4. All selected users are unlocked successfully.
5. Success message shows count of unlocked users.
6. All selected users status changes to "Active".</t>
  </si>
  <si>
    <t>1. Admin is logged in.
2. System has multiple locked users.</t>
  </si>
  <si>
    <t>BAN-USER-007</t>
  </si>
  <si>
    <t>Ban user with past expiry date</t>
  </si>
  <si>
    <t>1. Login as admin successfully.
2. Navigate to "/admin/users" page.
3. Find an active user in the list.
4. Click "Lock" button for that user.
5. Set expiry date to yesterday (past date).
6. Click "Confirm Lock" button.</t>
  </si>
  <si>
    <t>1. Lock modal opens successfully.
2. Validation error "Expiry date cannot be in the past" is displayed.
3. Lock action is blocked.
4. User remains active.
5. Form validation prevents invalid date.
6. User can correct the date.</t>
  </si>
  <si>
    <t>BAN-USER-008</t>
  </si>
  <si>
    <t>Ban user with very long reason</t>
  </si>
  <si>
    <t>1. Login as admin successfully.
2. Navigate to "/admin/users" page.
3. Find an active user in the list.
4. Click "Lock" button for that user.
5. Enter very long reason (500+ characters).
6. Set expiry date to next week.
7. Click "Confirm Lock" button.</t>
  </si>
  <si>
    <t>1. Lock modal opens successfully.
2. Long reason is handled properly.
3. User is locked successfully.
4. Success message is displayed.
5. Long reason is stored and displayed correctly.
6. No truncation occurs.</t>
  </si>
  <si>
    <t>BAN-USER-009</t>
  </si>
  <si>
    <t>Ban user with special characters in reason</t>
  </si>
  <si>
    <t>1. Login as admin successfully.
2. Navigate to "/admin/users" page.
3. Find an active user in the list.
4. Click "Lock" button for that user.
5. Enter reason with special characters: "Violation @#$%^&amp;*()".
6. Set expiry date to next week.
7. Click "Confirm Lock" button.</t>
  </si>
  <si>
    <t>1. Lock modal opens successfully.
2. Special characters are handled properly.
3. User is locked successfully.
4. Success message is displayed.
5. Special characters are preserved in reason.
6. No encoding issues occur.</t>
  </si>
  <si>
    <t>BAN-USER-010</t>
  </si>
  <si>
    <t>Ban user with network interruption</t>
  </si>
  <si>
    <t>1. Login as admin successfully.
2. Navigate to "/admin/users" page.
3. Find an active user in the list.
4. Click "Lock" button for that user.
5. Fill in lock details.
6. Disconnect network connection.
7. Click "Confirm Lock" button.</t>
  </si>
  <si>
    <t>1. Lock modal opens successfully.
2. Error message "Network error" is displayed.
3. Lock action fails.
4. User remains active.
5. Form data is preserved.
6. User can retry when network is restored.</t>
  </si>
  <si>
    <t>BAN-USER-011</t>
  </si>
  <si>
    <t>Ban user with backend unavailable</t>
  </si>
  <si>
    <t>1. Login as admin successfully.
2. Navigate to "/admin/users" page.
3. Find an active user in the list.
4. Click "Lock" button for that user.
5. Fill in lock details.
6. Stop backend server.
7. Click "Confirm Lock" button.</t>
  </si>
  <si>
    <t>1. Lock modal opens successfully.
2. Error message "Server unavailable" is displayed.
3. Lock action fails.
4. User remains active.
5. Form data is preserved.
6. User can retry when backend is restored.</t>
  </si>
  <si>
    <t>BAN-USER-012</t>
  </si>
  <si>
    <t>Ban user with expired session</t>
  </si>
  <si>
    <t>1. Login as admin successfully.
2. Wait for session to expire.
3. Navigate to "/admin/users" page.
4. Try to ban a user.
5. Check system behavior.</t>
  </si>
  <si>
    <t>1. User is redirected to login page.
2. Session expired message is displayed.
3. Ban action cannot be performed.
4. User must login again.
5. Security is properly enforced.</t>
  </si>
  <si>
    <t>BAN-USER-013</t>
  </si>
  <si>
    <t>Ban user with non-admin user</t>
  </si>
  <si>
    <t>1. Login with driver or parent account.
2. Try to navigate to "/admin/users" page.
3. Check if ban functionality is accessible.</t>
  </si>
  <si>
    <t>1. Access is denied.
2. User is redirected to unauthorized page.
3. Error message "Access denied" is displayed.
4. Only admin can access ban functionality.
5. Ban buttons are not visible.</t>
  </si>
  <si>
    <t>BAN-USER-014</t>
  </si>
  <si>
    <t>Ban already locked user</t>
  </si>
  <si>
    <t>1. Login as admin successfully.
2. Navigate to "/admin/users" page.
3. Find a locked user in the list.
4. Try to click "Lock" button again.
5. Check system behavior.</t>
  </si>
  <si>
    <t>1. Lock button is disabled or shows different state.
2. User cannot be locked again.
3. Appropriate message is displayed.
4. No duplicate lock occurs.
5. System handles already locked user gracefully.</t>
  </si>
  <si>
    <t>BAN-USER-015</t>
  </si>
  <si>
    <t>Unban already active user</t>
  </si>
  <si>
    <t>1. Login as admin successfully.
2. Navigate to "/admin/users" page.
3. Find an active user in the list.
4. Try to click "Unlock" button.
5. Check system behavior.</t>
  </si>
  <si>
    <t>1. Unlock button is disabled or not visible.
2. User cannot be unlocked.
3. Appropriate message is displayed.
4. No unnecessary unlock occurs.
5. System handles already active user gracefully.</t>
  </si>
  <si>
    <t>BAN-USER-016</t>
  </si>
  <si>
    <t>Ban user with invalid user ID</t>
  </si>
  <si>
    <t>1. Login as admin successfully.
2. Navigate to "/admin/users" page.
3. Manually modify user ID in browser dev tools.
4. Try to ban user with invalid ID.
5. Check error handling.</t>
  </si>
  <si>
    <t>1. Error message "User not found" is displayed.
2. Ban action fails gracefully.
3. System handles invalid ID properly.
4. No system crash occurs.
5. User list remains functional.</t>
  </si>
  <si>
    <t>BAN-USER-017</t>
  </si>
  <si>
    <t>Ban user with concurrent operations</t>
  </si>
  <si>
    <t>1. Login as admin successfully.
2. Navigate to "/admin/users" page.
3. Open multiple browser tabs with same user list.
4. Try to ban same user from different tabs.
5. Check system behavior.</t>
  </si>
  <si>
    <t>1. First ban operation succeeds.
2. Second ban operation fails or is blocked.
3. No duplicate locks occur.
4. System handles concurrent operations properly.
5. Data consistency is maintained.</t>
  </si>
  <si>
    <t>1. Admin is logged in.
2. Multiple browser tabs can be opened.</t>
  </si>
  <si>
    <t>BAN-USER-018</t>
  </si>
  <si>
    <t>Ban user with large number of users</t>
  </si>
  <si>
    <t>1. Login as admin successfully.
2. Navigate to "/admin/users" page.
3. Select all users on current page (20+ users).
4. Try to ban all selected users.
5. Check system performance.</t>
  </si>
  <si>
    <t>1. All users are selected successfully.
2. Bulk ban operation completes efficiently.
3. System performance remains stable.
4. All users are banned successfully.
5. Success message shows correct count.</t>
  </si>
  <si>
    <t>1. Admin is logged in.
2. System has 20+ users on current page.</t>
  </si>
  <si>
    <t>BAN-USER-019</t>
  </si>
  <si>
    <t>Ban user with slow network</t>
  </si>
  <si>
    <t>1. Login as admin successfully.
2. Navigate to "/admin/users" page.
3. Find an active user in the list.
4. Simulate slow network connection.
5. Try to ban the user.
6. Check loading behavior.</t>
  </si>
  <si>
    <t>1. Lock modal opens successfully.
2. Loading indicator is displayed during ban.
3. Ban operation eventually completes.
4. Success message is displayed.
5. User experience is smooth despite slow network.</t>
  </si>
  <si>
    <t>1. Admin is logged in.
2. Network speed can be controlled.</t>
  </si>
  <si>
    <t>Login with admin account</t>
  </si>
  <si>
    <t>WEB-AUTH-001</t>
  </si>
  <si>
    <t>Admin login with valid credentials</t>
  </si>
  <si>
    <t>1. Navigate to login page.
2. Enter admin email in email field. 
3. Enter correct password in password field.
4. Click "Login" button.
5. Verify redirect to admin dashboard page.</t>
  </si>
  <si>
    <t>1. Login request sent successfully.
2. Response contains success: true.
3. Access token stored in localStorage.
4. Redirect to admin dashboard.</t>
  </si>
  <si>
    <t>1. Admin account exists.
2. Admin account is active</t>
  </si>
  <si>
    <t>WEB-AUTH-002</t>
  </si>
  <si>
    <t>Admin login with invalid password</t>
  </si>
  <si>
    <t>1. Navigate to login page.
2. Enter admin email in email field.
3. Enter incorrect password in password field.
4. Click "Login" button.
5. Check error handling.</t>
  </si>
  <si>
    <t>1. Error message "Wrong username or password" displayed.
2. User is not authenticated.
3. Login form remains visible.</t>
  </si>
  <si>
    <t>Admin account exists in system</t>
  </si>
  <si>
    <t>WEB-LOGIN-003</t>
  </si>
  <si>
    <t>Admin login with non-existent email</t>
  </si>
  <si>
    <t>1. Navigate to login page.
2. Enter unregistered email in email field.
3. Enter any password in password field.
4. Click ""Login"" button.
5. Check error handling."</t>
  </si>
  <si>
    <t>1. Error message "Wrong email or password" displayed.
2. User is not authenticated.
3. Login form remains visible.</t>
  </si>
  <si>
    <t>None</t>
  </si>
  <si>
    <t>WEB-LOGIN-004</t>
  </si>
  <si>
    <t>Admin login with empty email field</t>
  </si>
  <si>
    <t>1. Navigate to login page.
2. Leave email field blank.
3. Enter password in password field.
4. Click Login button.
5. Check validation.</t>
  </si>
  <si>
    <t>1. Validation message "Email is required" displayed.
2. Login button is disabled or form submission blocked.
3. No API call is made.</t>
  </si>
  <si>
    <t>WEB-LOGIN-005</t>
  </si>
  <si>
    <t>Admin login with empty password field</t>
  </si>
  <si>
    <t>1. Navigate to login page.
2. Enter admin email in email field.
3. Leave password field blank.
4. Click Login button.
5. Check validation.</t>
  </si>
  <si>
    <t>1. Validation message "Password is required" displayed.
2. Login button is disabled or form submission blocked.
3. No API call is made.</t>
  </si>
  <si>
    <t>WEB-LOGIN-006</t>
  </si>
  <si>
    <t>Admin login with invalid email format</t>
  </si>
  <si>
    <t>1. Navigate to login page.
2. Enter invalid email format (e.g., ""admin@"").
3. Enter password in password field.
4. Click "Login" button.
5. Check validation.</t>
  </si>
  <si>
    <t>1. Client-side validation message "Invalid email format" displayed.
2. Login button is disabled or form submission blocked.
3. No API call is made.</t>
  </si>
  <si>
    <t>WEB-LOGIN-007</t>
  </si>
  <si>
    <t>Driver login attempt on web platform</t>
  </si>
  <si>
    <t>1. Navigate to login page.
2. Enter driver email in email field.
3. Enter correct password in password field.
4. Click "Login" button.
5. Check authorization response.</t>
  </si>
  <si>
    <t>1. Error message "You don't have permissions to access the system" displayed.
2. User is not authenticated.
3. Login form remains visible.</t>
  </si>
  <si>
    <t>1. Driver account exists.
2. Driver account is active.</t>
  </si>
  <si>
    <t>WEB-LOGIN-008</t>
  </si>
  <si>
    <t>Parent login attempt on web platform</t>
  </si>
  <si>
    <t>1. Navigate to login page.
2. Enter parent email in email field.
3. Enter correct password in password field.
4. Click "Login" button.
5. Check authorization response.</t>
  </si>
  <si>
    <t>1. Parent account exists.
2. Parent account is active.</t>
  </si>
  <si>
    <t>WEB-LOGOUT-001</t>
  </si>
  <si>
    <t>Admin logout from web dashboard</t>
  </si>
  <si>
    <t>1. Login as admin successfully.
2. Navigate to admin dashboard.
3. Click "Log out" button in header.
4. Verify logout process.</t>
  </si>
  <si>
    <t>1. User is logged out successfully.
2. Access token and refresh token removed from localStorage.
3. Redirected to login page.
4. User session is cleared.</t>
  </si>
  <si>
    <t>1. Admin is logged in.
2. User is on dashboard page.</t>
  </si>
  <si>
    <t>Round1: Should redirect to login page instead of home page.</t>
  </si>
  <si>
    <t>WEB-LOGOUT-002</t>
  </si>
  <si>
    <t>Logout with expired token</t>
  </si>
  <si>
    <t>1. Login as admin successfully.
2. Wait for token to expire or manually expire token.
3. Click "Log out" button.
4. Check logout behavior.</t>
  </si>
  <si>
    <t>1. Logout still works successfully.
2. Tokens are removed from localStorage.
3. Redirected to login page.
4. No error messages displayed.</t>
  </si>
  <si>
    <t>1. Admin is logged in.
2. Token is expired.</t>
  </si>
  <si>
    <t>Round 1:Should redirect to login page instead of home page.</t>
  </si>
  <si>
    <t>WEB-LOGOUT-003</t>
  </si>
  <si>
    <t>Access protected page after logout</t>
  </si>
  <si>
    <t>1. Login as admin successfully.
2. Navigate to admin dashboard.
3. Click ""Log out"" button.
4. Manually navigate to protected URL (e.g., /dashboard).
5. Check system response.</t>
  </si>
  <si>
    <t xml:space="preserve">User is redirected to login page.
</t>
  </si>
  <si>
    <t>1. Admin is logged in.
2. User knows protected URL.</t>
  </si>
  <si>
    <t>WEB-LOGOUT-004</t>
  </si>
  <si>
    <t>Backend unavailable while logging out</t>
  </si>
  <si>
    <t>1. Login as admin successfully.
2. Navigate to admin dashboard.
3. Stop backend server or disconnect network.
4. Click "Log out" button.
5. Check logout behavior.
6. Restart backend server."</t>
  </si>
  <si>
    <t>1. Local logout still works successfully.
2. Tokens are removed from localStorage.
3. User is redirected to login page.
4. User session is cleared locally."</t>
  </si>
  <si>
    <t>1. Admin is logged in.
2. Backend server can be stopped.
3. Network connection can be controlled.</t>
  </si>
  <si>
    <t>WEB-PROFILE-001</t>
  </si>
  <si>
    <t>Admin view personal profile</t>
  </si>
  <si>
    <t>1. Login as admin successfully.
2. Navigate to Profile section in sidebar.
3. Click on "Personal Profile" option.
4. Verify profile information is displayed.</t>
  </si>
  <si>
    <t xml:space="preserve">Profile page loads successfully.
</t>
  </si>
  <si>
    <t>1. Admin is logged in.
2. Admin has complete profile data.</t>
  </si>
  <si>
    <t>WEB-PROFILE-002</t>
  </si>
  <si>
    <t>Admin view profile with expired token</t>
  </si>
  <si>
    <t>1. Login as admin successfully.
2. Wait for token to expire.
3. Navigate to Profile section.
4. Click on "Personal Profile" option.
5. Check system behavior.</t>
  </si>
  <si>
    <t>1. User is redirected to login page.</t>
  </si>
  <si>
    <t>1. Admin is logged in.
2. Token can expire.</t>
  </si>
  <si>
    <t>WEB-PROFILE-003</t>
  </si>
  <si>
    <t>Verify that parent can view their profile in UI</t>
  </si>
  <si>
    <t>1. Login to mobile app as parent
2. click manage profile icon at the bottom</t>
  </si>
  <si>
    <t>1. user profile is fully displayed</t>
  </si>
  <si>
    <t>1. Parent is logged in
2. Database is connected</t>
  </si>
  <si>
    <t>Update personal profile</t>
  </si>
  <si>
    <t>WEB-PROFILE-004</t>
  </si>
  <si>
    <t>Verify that parent can edit profile in UI</t>
  </si>
  <si>
    <t>1. Login to mobile app as parent
2. click manage profile icon at the bottom
3. click edit button</t>
  </si>
  <si>
    <t>1. User can update the profile successfully</t>
  </si>
  <si>
    <t>KhoiVN</t>
  </si>
  <si>
    <t>WEB-PROFILE-005</t>
  </si>
  <si>
    <t>Verify that a parent cannot update another parent's profile.</t>
  </si>
  <si>
    <t>1. Send PUT request to /api/UserAccount/{other-parent-id} with updated profile data
2. Include parent authorization token in headers
3. Verify access denied response</t>
  </si>
  <si>
    <t>1. Status Code: 403 Forbidden
2. Access denied error
3. No profile data is updated</t>
  </si>
  <si>
    <t>1. Parent is logged in.
2. Another parent exists in db
3. Database is connected</t>
  </si>
  <si>
    <t>WEB-PROFILE-006</t>
  </si>
  <si>
    <t>Verify even admin cannot update a parent's profile</t>
  </si>
  <si>
    <t>1. Send PUT request to /api/UserAccount/{parent-id} with updated profile data
2. Include admin authorization token in headers
3. Verify 403 status</t>
  </si>
  <si>
    <t>1. Admin is logged in.
2. parent exists in db
3. Database is connected</t>
  </si>
  <si>
    <t>WEB-PROFILE-007</t>
  </si>
  <si>
    <t>Verify that parent cannot update profile with existing phonenumber</t>
  </si>
  <si>
    <t>1. Send PUT request to /api/UserAccount/{parent-id} with existing phonenumber
2. Include authorization token in headers
3. Verify 401 status for duplicate phone number</t>
  </si>
  <si>
    <t>1. Status Code: 401 
2. Error indicate phone number already exists
3. No profile data is updated</t>
  </si>
  <si>
    <t>1. Parent is logged in.
2. the phone number exists in db
3. Database is connected</t>
  </si>
  <si>
    <t>WEB-PROFILE-008</t>
  </si>
  <si>
    <t>Verify that parent cannot update profile with existing email</t>
  </si>
  <si>
    <t>1. Send PUT request to /api/UserAccount/{parent-id} with existing email
2. Include authorization token in headers
3. Verify 401 status for duplicate email</t>
  </si>
  <si>
    <t>1. Status Code: 401 
2. Error indicate email already exists
3. No profile data is updated</t>
  </si>
  <si>
    <t>1. Parent is logged in.
2. the email exists in db
3. Database is connected</t>
  </si>
  <si>
    <t>WEB-PROFILE-009</t>
  </si>
  <si>
    <t>Verify that parent cannot update profile with invalid dateofbirth</t>
  </si>
  <si>
    <t>1. Send PUT request to /api/UserAccount/{parent-id} with dateofbirth not in the past
2. Include authorization token in headers
3. Verify 401 status for invalid dob</t>
  </si>
  <si>
    <t>1. Status Code: 401 
2. Error indicate dob not valid
3. No profile data is updated</t>
  </si>
  <si>
    <t>1. Parent is logged in.
2. Database is connected</t>
  </si>
  <si>
    <t>Student management</t>
  </si>
  <si>
    <t>Verifies the complete student management flow—including creating, viewing, editing, and deactivating student records—covering input validation, relationship consistency (class, parent, bus assignments), permission checks, data integrity, and graceful error handling.</t>
  </si>
  <si>
    <t>Add Student</t>
  </si>
  <si>
    <t>STU-001</t>
  </si>
  <si>
    <t>Verify that a student can be successfully created with valid data by an admin user.</t>
  </si>
  <si>
    <t>1.Send POST request to /api/Student with valid student data
2.Include admin authorization token in headers
3.Verify response status and data</t>
  </si>
  <si>
    <t>1.Status Code: 201 Created
2.Response contains student data with generated ID
3.Student status is set to "Available"
4.Student is created in database</t>
  </si>
  <si>
    <t>1. Admin user is authenticated
2. Database is accessible</t>
  </si>
  <si>
    <t>NguyetNTT</t>
  </si>
  <si>
    <t>STU-002</t>
  </si>
  <si>
    <t>Verify that creating a student fails when required fields are missing.</t>
  </si>
  <si>
    <t>1. Send POST request to /api/Student with missing firstName
2. Include admin authorization token in headers
3. Verify error response</t>
  </si>
  <si>
    <t>1. Status Code: 400 Bad Request
2. Error message indicates missing required field
3. No student is created in database</t>
  </si>
  <si>
    <t>1. Admin user is authenticated
2. Database is accessible</t>
  </si>
  <si>
    <t xml:space="preserve">When both parentId and parentEmail are provided, The new parentEmail override the existing email in user table. Need to be clarified here. </t>
  </si>
  <si>
    <t>STU-003</t>
  </si>
  <si>
    <t>Verify that non-admin users cannot create students.</t>
  </si>
  <si>
    <t>1.Send POST request to /api/Student with valid data
2.Include parent authorization token in headers
3.Verify access denied response</t>
  </si>
  <si>
    <t>1. Status Code: 403 Forbidden
2. Access denied error
3. No student is created in database</t>
  </si>
  <si>
    <t>1. Parent user is authenticated (non-admin)
2. Database is accessible</t>
  </si>
  <si>
    <t>STU-004</t>
  </si>
  <si>
    <t>Verify that students can be imported from a valid Excel file.</t>
  </si>
  <si>
    <t>1. Send POST request to /api/Student/import with Excel file
2. Include admin authorization token in headers
3. Verify response status and import results</t>
  </si>
  <si>
    <t>1. Status Code: 200 OK
2. Response contains import statistics
3. Successful students are created in database
4. Failed students are reported with reasons</t>
  </si>
  <si>
    <t>1. Admin user is authenticated
2. Valid Excel file with student data exists
3. Database is accessible</t>
  </si>
  <si>
    <t>STU-005</t>
  </si>
  <si>
    <t>Verify that importing fails with invalid file format.</t>
  </si>
  <si>
    <t>1. Send POST request to /api/Student/import with .csv file
2. Include admin authorization token in headers
3. Verify error response</t>
  </si>
  <si>
    <t>1. Status Code: 400 Bad Request
2. Error message indicates only .xlsx files are supported
3. No students are imported</t>
  </si>
  <si>
    <t>1. Admin user is authenticated
2. Invalid file format exists
3. Database is accessible</t>
  </si>
  <si>
    <t>STU-006</t>
  </si>
  <si>
    <t>Verify that creating a student fails when ParentEmail format is invalid.</t>
  </si>
  <si>
    <t>1. Send POST request to /api/Student with invalid email format
2. Include admin authorization token in headers
3.Verify error response</t>
  </si>
  <si>
    <t>1. Status Code: 400 Bad Request
2. Error message indicates invalid email format
3. No student is created in database</t>
  </si>
  <si>
    <t>STU-007</t>
  </si>
  <si>
    <t>Verify that creating a student fails when firstName exceeds 50 characters.</t>
  </si>
  <si>
    <t>1. Send POST request to /api/Student with firstName longer than 50 characters
2. Include admin authorization token in headers
3. Verify error response</t>
  </si>
  <si>
    <t>1. Status Code: 400 Bad Request
2. Error message indicates firstName cannot exceed 50 characters
3. No student is created in database</t>
  </si>
  <si>
    <t>API passed but No validation in UI</t>
  </si>
  <si>
    <t>View Student</t>
  </si>
  <si>
    <t>STU-008</t>
  </si>
  <si>
    <t>Verify that parent can retrieve their own child's data but not other children.</t>
  </si>
  <si>
    <t>1. Send GET request to /api/Student/{own-child-id}
2. Include parent authorization token in headers
3. Verify successful access
4. Send GET request to /api/Student/{other-child-id}
5. Verify access denied</t>
  </si>
  <si>
    <t>1. Own child: Status Code 200 OK with student data
2. Other child: Status Code 403 Forbidden with access denied</t>
  </si>
  <si>
    <t>1. Parent user is authenticated
2. Student belongs to the authenticated parent
3. Another student belongs to different parent
4. Database is accessible</t>
  </si>
  <si>
    <t>STU-009</t>
  </si>
  <si>
    <t>Verify that admin can retrieve list of students with filters applied</t>
  </si>
  <si>
    <t>1. Send GET request to /api/Student
2. Provide proper filters in the url params
3. Verify returned data</t>
  </si>
  <si>
    <t>1. Correct list of students is returned</t>
  </si>
  <si>
    <t>STU-010</t>
  </si>
  <si>
    <t>Verify that students can be exported to Excel by an admin user.</t>
  </si>
  <si>
    <t>1. Send GET request to /api/Student/export
2. Include admin authorization token in headers
3. Verify response status and file content</t>
  </si>
  <si>
    <t>1. Status Code: 200 OK
2. Response contains Excel file with proper content type
3. File includes all student data with correct headers
4. File is downloadable as "Students.xlsx"</t>
  </si>
  <si>
    <t>STU-011</t>
  </si>
  <si>
    <t>Verify that getting students by invalid status fails.</t>
  </si>
  <si>
    <t>1. Send GET request to /api/Student/status/99 (invalid status)
2. Include admin authorization token in headers
3. Verify error response</t>
  </si>
  <si>
    <t>1. Status Code: 400 Bad Request
2. Error message indicates invalid status value with valid options
3. No data is returned</t>
  </si>
  <si>
    <t xml:space="preserve">1. Admin user is authenticated
2. Database is accessible
</t>
  </si>
  <si>
    <t>STU-012</t>
  </si>
  <si>
    <t>Verify that a parent cannot access a student who has no parent assigned (ParentId is null).</t>
  </si>
  <si>
    <t>1. Create a student with ParentId = null (no parent assigned)
2. Send GET request to /api/Student/{student-id} with parent authorization token
3. Verify access denied response</t>
  </si>
  <si>
    <t>1. Status Code: 403 Forbidden
2. Access denied error
3. Student data is not returned</t>
  </si>
  <si>
    <t xml:space="preserve">1. Driver user is authenticated
2. Students and parents exist, students are not linked to parents
3. Database is accessible
</t>
  </si>
  <si>
    <t>STU-013</t>
  </si>
  <si>
    <t>Verify that a driver cannot access any student data.</t>
  </si>
  <si>
    <t>1. Send GET request to /api/Student/{student-id} with driver authorization token
2. Verify access denied response
3. Send GET request to /api/Student/parent/{parent-id} with driver authorization token
4. Verify access denied response</t>
  </si>
  <si>
    <t>1. Both requests return Status Code: 403 Forbidden
2. Access denied error for both endpoints
3. No student data is returned</t>
  </si>
  <si>
    <t xml:space="preserve">1. Driver user is authenticated
2. Students exist
3. Database is accessible
</t>
  </si>
  <si>
    <t>Update</t>
  </si>
  <si>
    <t>STU-014</t>
  </si>
  <si>
    <t>Verify that a student can be successfully updated with valid data by an admin user.</t>
  </si>
  <si>
    <t>1. Send PUT request to /api/Student/{id} with updated data
2. Include admin authorization token in headers
3. Verify response status and updated data</t>
  </si>
  <si>
    <t>1. Status Code: 200 OK
2. Response contains updated student data
3. Student data is updated in database</t>
  </si>
  <si>
    <t>1. Admin user is authenticated
2. Student exists in the system
3. Database is accessible</t>
  </si>
  <si>
    <t>In UI: display phone number instead of email
Required email, while email is optional when creating, needs to be clarified</t>
  </si>
  <si>
    <t>STU-015</t>
  </si>
  <si>
    <t>Verify that a student can be successfully activated by an admin.</t>
  </si>
  <si>
    <t>1. Send POST request to /api/Student/{id}/activate
2. Include admin authorization token in headers
3. Verify response status and updated student data</t>
  </si>
  <si>
    <t>1. Status Code: 200 OK
2. Response contains updated student data
3. Student status is changed to Active
4. ActivatedAt timestamp is set</t>
  </si>
  <si>
    <t>1. Admin user is authenticated
2. Student exists in the system with Available status
3. Database is accessible</t>
  </si>
  <si>
    <t>STU-016</t>
  </si>
  <si>
    <t>Verify that a student can be successfully deactivated with reason by an admin.</t>
  </si>
  <si>
    <t>1. Send POST request to /api/Student/{id}/deactivate with reason
2. Include admin authorization token in headers
3. Verify response status and updated student data</t>
  </si>
  <si>
    <t>1. Status Code: 200 OK
2. Response contains updated student data
3. Student status is changed to Inactive
4. DeactivatedAt timestamp is set
5. DeactivationReason is stored</t>
  </si>
  <si>
    <t>1. Admin user is authenticated
2. Student exists in the system with Active status
3. Database is accessible</t>
  </si>
  <si>
    <t>STU-017</t>
  </si>
  <si>
    <t>Verify that students can be filtered by status.</t>
  </si>
  <si>
    <t>1. Send GET request to /api/Student/status/{status}
2. Include admin authorization token in headers
3. Verify response status and filtered student list</t>
  </si>
  <si>
    <t>1. Status Code: 200 OK
2. Response contains array of students with Active status only
3. All returned students have status = Active</t>
  </si>
  <si>
    <t>1. Admin user is authenticated
2. Students with different statuses exist in the system
3. Database is accessible</t>
  </si>
  <si>
    <t>STU-018</t>
  </si>
  <si>
    <t>Verify that deactivating a student fails when reason is missing.</t>
  </si>
  <si>
    <t>1. Send POST request to /api/Student/{id}/deactivate with empty request body
2. Include admin authorization token in headers
3. Verify error response</t>
  </si>
  <si>
    <t>1. Status Code: 400 Bad Request
2. Error message indicates deactivation reason is required
3. Student status remains unchanged</t>
  </si>
  <si>
    <t>1. Admin user is authenticated
2. Students with active statuses exist in the system
3. Database is accessible</t>
  </si>
  <si>
    <t>Only alert in UI, better have a modal</t>
  </si>
  <si>
    <t>STU-019</t>
  </si>
  <si>
    <t>Verify that activating a non-existent student fails.</t>
  </si>
  <si>
    <t>1. Send POST request to /api/Student/{non-existent-id}/activate
2. Include admin authorization token in headers
3. Verify error response</t>
  </si>
  <si>
    <t>1. Status Code: 404 Not Found
2. Error message indicates student not found
3. No changes are made to database</t>
  </si>
  <si>
    <t>1. Admin user is authenticated
2. Students with such id does not exist in the system
3. Database is accessible</t>
  </si>
  <si>
    <t>STU-020</t>
  </si>
  <si>
    <t>STU-021</t>
  </si>
  <si>
    <t>STU-022</t>
  </si>
  <si>
    <t>STU-023</t>
  </si>
  <si>
    <t>STU-024</t>
  </si>
  <si>
    <t>STU-025</t>
  </si>
  <si>
    <t>STUDENT_CRUD</t>
  </si>
  <si>
    <t>STU-026</t>
  </si>
  <si>
    <t>Test deleting student (Soft Delete)</t>
  </si>
  <si>
    <t>1. Login as Admin
2. Call DELETE /api/student/{id}
3. Submit</t>
  </si>
  <si>
    <t>1. Returns 200 OK
2. Student IsDeleted = true
3. Student removed from active lists
4. Historical data preserved</t>
  </si>
  <si>
    <t>1. Active student exists</t>
  </si>
  <si>
    <t>STU-027</t>
  </si>
  <si>
    <t>Test importing students from Excel</t>
  </si>
  <si>
    <t>1. Login as Admin
2. Call POST /api/student/import
3. Upload valid .xlsx file
4. Submit</t>
  </si>
  <si>
    <t>1. Returns 200 OK
2. Returns count of successful/failed imports
3. Students created in database
4. Duplicate emails handled gracefully</t>
  </si>
  <si>
    <t>1. Valid Excel file</t>
  </si>
  <si>
    <t>STU-028</t>
  </si>
  <si>
    <t>Test importing students with invalid data</t>
  </si>
  <si>
    <t>1. Upload .xlsx with missing required fields (Name, Email)
2. Submit</t>
  </si>
  <si>
    <t>1. Returns 200 OK (Partial Success)
2. FailedStudents list contains error details
3. Valid rows still processed</t>
  </si>
  <si>
    <t>1. Invalid Excel file</t>
  </si>
  <si>
    <t>STU-029</t>
  </si>
  <si>
    <t>Test allocating students to vehicles (Indirect)</t>
  </si>
  <si>
    <t>1. Create Route with PickupPoints
2. Assign Student to PickupPoint (Enrollment)
3. Assign Route to Vehicle (Trip Generation)
4. Check Trip details</t>
  </si>
  <si>
    <t>1. Student appears in Trip Stops
2. Student allocated to correct Vehicle for the trip</t>
  </si>
  <si>
    <t>1. Route, Vehicle, Student exist</t>
  </si>
  <si>
    <t>PARENT_VIEW</t>
  </si>
  <si>
    <t>STU-030</t>
  </si>
  <si>
    <t>Test viewing my students' information</t>
  </si>
  <si>
    <t>1. Login as Parent
2. Call GET /api/student/parent/{myParentId}
3. Check list</t>
  </si>
  <si>
    <t>1. Returns 200 OK
2. List of students linked to parent
3. Includes status, class, pickup point info</t>
  </si>
  <si>
    <t>1. Parent has students</t>
  </si>
  <si>
    <t>STU-031</t>
  </si>
  <si>
    <t>Test viewing other parent's students (Security)</t>
  </si>
  <si>
    <t>1. Login as Parent A
2. Call GET /api/student/parent/{parentB_Id}
3. Submit</t>
  </si>
  <si>
    <t>1. Returns 403 Forbidden
2. Access denied</t>
  </si>
  <si>
    <t>1. Parent B exists</t>
  </si>
  <si>
    <t>STU-032</t>
  </si>
  <si>
    <t>Test updating student information (Parent)</t>
  </si>
  <si>
    <t>1. Login as Parent
2. Try to call PUT /api/student/{id}
3. Submit</t>
  </si>
  <si>
    <t>1. Returns 403 Forbidden (Currently Admin only)
2. Parent cannot modify core student data directly</t>
  </si>
  <si>
    <t>1. Student exists</t>
  </si>
  <si>
    <t>STU-033</t>
  </si>
  <si>
    <t>Test updating student face profile</t>
  </si>
  <si>
    <t>1. Login as Parent/Admin
2. Call API to upload face image (Endpoint TBD/Missing)
3. Submit</t>
  </si>
  <si>
    <t>1. Feature Not Implemented
2. Should update face recognition data</t>
  </si>
  <si>
    <t>1. Image file ready</t>
  </si>
  <si>
    <t>BUS_LISTS</t>
  </si>
  <si>
    <t>STU-034</t>
  </si>
  <si>
    <t>Test viewing student list on specific trip</t>
  </si>
  <si>
    <t>1. Login as Driver
2. Call GET /api/trip/{id}/detail-for-driver
3. Check response</t>
  </si>
  <si>
    <t>1. Returns 200 OK
2. TripDto contains Stops
3. Each Stop contains Attendance list with Student Names</t>
  </si>
  <si>
    <t>1. Assigned trip exists</t>
  </si>
  <si>
    <t>STU-035</t>
  </si>
  <si>
    <t>Test viewing bus-specific attendance list</t>
  </si>
  <si>
    <t>1. Login as Supervisor/Admin
2. Call GET /api/trip/{id}/attendance
3. Check response</t>
  </si>
  <si>
    <t>1. Returns 200 OK
2. Summary of attendance (Boarded, Absent, etc.)
3. Matches student list for that bus</t>
  </si>
  <si>
    <t>1. Trip exists</t>
  </si>
  <si>
    <t>STU-036</t>
  </si>
  <si>
    <t>Test driver viewing unassigned trip</t>
  </si>
  <si>
    <t>1. Login as Driver A
2. Try GET /api/trip/{tripId_of_DriverB}/detail-for-driver
3. Submit</t>
  </si>
  <si>
    <t>1. Returns 403/404
2. Driver can only view their own assigned trips</t>
  </si>
  <si>
    <t>1. Trip belongs to Driver B</t>
  </si>
  <si>
    <t>ABSENCE_REPORT</t>
  </si>
  <si>
    <t>ABS-001</t>
  </si>
  <si>
    <t>Test sending absence report (Parent)</t>
  </si>
  <si>
    <t>1. Login as Parent
2. Call POST /api/student-absence-requests/parent
3. Body: {studentId, date, reason}
4. Submit</t>
  </si>
  <si>
    <t>1. Returns 201 Created
2. Request saved with status "Pending"
3. Notification sent to Admin/Supervisor</t>
  </si>
  <si>
    <t>1. Valid student</t>
  </si>
  <si>
    <t>ABS-002</t>
  </si>
  <si>
    <t>Test handling absent student (Approve)</t>
  </si>
  <si>
    <t>1. Login as Admin
2. Call PATCH /api/student-absence-requests/{id}/approve
3. Submit</t>
  </si>
  <si>
    <t>1. Returns 200 OK
2. Status = "Approved"
3. Student marked as "Excused" in daily attendance (if integrated)</t>
  </si>
  <si>
    <t>1. Pending request</t>
  </si>
  <si>
    <t>ABS-003</t>
  </si>
  <si>
    <t>Test handling absent student (Reject)</t>
  </si>
  <si>
    <t>1. Login as Admin
2. Call PATCH /api/student-absence-requests/{id}/reject
3. Body: {reason}
4. Submit</t>
  </si>
  <si>
    <t>1. Returns 200 OK
2. Status = "Rejected"
3. Parent notified</t>
  </si>
  <si>
    <t>ABS-004</t>
  </si>
  <si>
    <t>Test sending absence for past date</t>
  </si>
  <si>
    <t>1. Create request for date &lt; Today
2. Submit</t>
  </si>
  <si>
    <t>1. Returns 400 Bad Request (if policy exists)
2. Or allows with warning</t>
  </si>
  <si>
    <t>DRIVER_LEAVE</t>
  </si>
  <si>
    <t>DRV-001</t>
  </si>
  <si>
    <t>Test sending leave/sick request (Driver)</t>
  </si>
  <si>
    <t>1. Login as Driver
2. Call POST /api/driver/send-leave-request
3. Body: {startDate, endDate, reason, type}
4. Submit</t>
  </si>
  <si>
    <t>1. Returns 201 Created
2. Request saved as "Pending"
3. Admin notified</t>
  </si>
  <si>
    <t>1. Driver account</t>
  </si>
  <si>
    <t>DRV-002</t>
  </si>
  <si>
    <t>Test approving leave request with replacement</t>
  </si>
  <si>
    <t>1. Login as Admin
2. Call PATCH /api/driver/leaves/{id}/approve
3. Body: {replacementDriverId}
4. Submit</t>
  </si>
  <si>
    <t>1. Returns 200 OK
2. Status = "Approved"
3. Replacement driver assigned to vehicle for duration</t>
  </si>
  <si>
    <t>1. Pending request
2. Available replacement</t>
  </si>
  <si>
    <t>DRV-003</t>
  </si>
  <si>
    <t>Test rejecting leave request</t>
  </si>
  <si>
    <t>1. Login as Admin
2. Call PATCH /api/driver/leaves/{id}/reject
3. Body: {reason}
4. Submit</t>
  </si>
  <si>
    <t>1. Returns 200 OK
2. Status = "Rejected"
3. Driver notified</t>
  </si>
  <si>
    <t>DRV-004</t>
  </si>
  <si>
    <t>Test overlapping leave requests</t>
  </si>
  <si>
    <t>1. Driver has approved leave Jan 1-5
2. Driver submits new request Jan 3-7
3. Submit</t>
  </si>
  <si>
    <t>1. Returns 409 Conflict
2. Error "Overlapping leave request"</t>
  </si>
  <si>
    <t>1. Existing leave</t>
  </si>
  <si>
    <t>Verifies the full configuration flow for school-wide system settings—including updating school information, location, branding, pricing, operational rules, and system parameters—covering input validation, permission control, dependency checks, and consistent system-wide impact.</t>
  </si>
  <si>
    <t>PARENT_NOTIFICATIONS</t>
  </si>
  <si>
    <t>CONF-001</t>
  </si>
  <si>
    <t>Test creating initial school information</t>
  </si>
  <si>
    <t>1. Login as Admin
2. Call POST /api/school
3. Body: {name, address, email, phone}
4. Submit</t>
  </si>
  <si>
    <t>1. Returns 201 Created
2. School info saved
3. IsActive = true by default</t>
  </si>
  <si>
    <t>1. No school info exists</t>
  </si>
  <si>
    <t>CONF-002</t>
  </si>
  <si>
    <t>Test preventing duplicate school creation</t>
  </si>
  <si>
    <t>1. School info already exists
2. Call POST /api/school again
3. Submit</t>
  </si>
  <si>
    <t>1. Returns 409 Conflict
2. Error "School already exists"
3. System enforces singleton school record</t>
  </si>
  <si>
    <t>1. School info exists</t>
  </si>
  <si>
    <t>CONF-003</t>
  </si>
  <si>
    <t>Test updating school information</t>
  </si>
  <si>
    <t>1. Login as Admin
2. Call PUT /api/school/{id}
3. Update name and contact info
4. Submit</t>
  </si>
  <si>
    <t>1. Returns 200 OK
2. Data updated in database
3. UpdatedAt timestamp refreshed</t>
  </si>
  <si>
    <t>CONF-004</t>
  </si>
  <si>
    <t>Test public access to school info</t>
  </si>
  <si>
    <t>1. No login (Anonymous)
2. Call GET /api/school
3. Check response</t>
  </si>
  <si>
    <t>1. Returns 200 OK
2. Public info (name, address, contact) returned
3. Internal notes NOT returned</t>
  </si>
  <si>
    <t>CONF-005</t>
  </si>
  <si>
    <t>Test admin access to full school info</t>
  </si>
  <si>
    <t>1. Login as Admin
2. Call GET /api/school/admin
3. Check response</t>
  </si>
  <si>
    <t>1. Returns 200 OK
2. Includes InternalNotes, IsPublished status
3. Full details available</t>
  </si>
  <si>
    <t>1. Admin account</t>
  </si>
  <si>
    <t>LOCATION_IMAGES</t>
  </si>
  <si>
    <t>CONF-006</t>
  </si>
  <si>
    <t>Test updating school location (Map Picker)</t>
  </si>
  <si>
    <t>1. Login as Admin
2. Call PUT /api/school/{id}/location
3. Body: {lat, long, fullAddress, displayAddress}
4. Submit</t>
  </si>
  <si>
    <t>1. Returns 200 OK
2. Coordinates updated
3. Spatial data (Geog point) updated correctly for map queries</t>
  </si>
  <si>
    <t xml:space="preserve">1. Valid coordinates	</t>
  </si>
  <si>
    <t>CONF-007</t>
  </si>
  <si>
    <t>Test retrieving school images</t>
  </si>
  <si>
    <t>1. Login as Admin
2. Call GET /api/school/images
3. Check response</t>
  </si>
  <si>
    <t>1. Returns list of active images
2. Filtered by types: Logo, Banner, Gallery, etc.
3. Includes file URLs and metadata</t>
  </si>
  <si>
    <t>1. Images uploaded</t>
  </si>
  <si>
    <t>CONF-008</t>
  </si>
  <si>
    <t>Test updating location with invalid coordinates</t>
  </si>
  <si>
    <t>1. Call PUT /api/school/{id}/location
2. Body: {lat: 95.0, long: 200.0}
3. Submit</t>
  </si>
  <si>
    <t>1. Returns 400 Bad Request
2. Validation error for coordinate range</t>
  </si>
  <si>
    <t>UNIT_PRICE_CRUD</t>
  </si>
  <si>
    <t>CONF-009</t>
  </si>
  <si>
    <t>Test creating new unit price</t>
  </si>
  <si>
    <t>1. Login as Admin
2. Call POST /api/unitprice
3. Body: {name, pricePerKm: 10000, effectiveFrom: tomorrow}
4. Submit</t>
  </si>
  <si>
    <t>1. Returns 201 Created
2. Unit price saved
3. CreatedByAdmin info recorded</t>
  </si>
  <si>
    <t>1. No overlapping prices</t>
  </si>
  <si>
    <t>CONF-010</t>
  </si>
  <si>
    <t>Test updating unit price details</t>
  </si>
  <si>
    <t>1. Call PUT /api/unitprice/{id}
2. Update price and description
3. Submit</t>
  </si>
  <si>
    <t>1. Returns 200 OK
2. Price updated
3. Effective dates updated if changed</t>
  </si>
  <si>
    <t>1. Unit price exists</t>
  </si>
  <si>
    <t>CONF-011</t>
  </si>
  <si>
    <t>Test soft deleting unit price</t>
  </si>
  <si>
    <t>1. Call DELETE /api/unitprice/{id}
2. Submi</t>
  </si>
  <si>
    <t>1. Returns 204 No Content
2. IsDeleted = true
3. IsActive = false
4. EffectiveTo set to now</t>
  </si>
  <si>
    <t>1. Active unit price</t>
  </si>
  <si>
    <t>CONF-012</t>
  </si>
  <si>
    <t>Test retrieving current effective price</t>
  </si>
  <si>
    <t>1. Call GET /api/unitprice/current-effective
2. Check response</t>
  </si>
  <si>
    <t>1. Returns single price config
2. Price is active AND (EffectiveFrom &lt;= Now &lt;= EffectiveTo)
3. Used for fee calculation</t>
  </si>
  <si>
    <t>1. Active effective price exists</t>
  </si>
  <si>
    <t>CONF-013</t>
  </si>
  <si>
    <t>Test retrieving all unit prices (including deleted)</t>
  </si>
  <si>
    <t>1. Call GET /api/unitprice/all-including-deleted
2. Check list</t>
  </si>
  <si>
    <t>1. Returns active, inactive, and deleted prices
2. Useful for audit trail</t>
  </si>
  <si>
    <t>1. Deleted prices exist</t>
  </si>
  <si>
    <t>PRICE_VALIDATION</t>
  </si>
  <si>
    <t>CONF-014</t>
  </si>
  <si>
    <t>Test preventing overlapping price ranges (Create)</t>
  </si>
  <si>
    <t>1. Existing price: Jan 1 - Jan 31
2. Create new price: Jan 15 - Feb 15
3. Submit</t>
  </si>
  <si>
    <t>1. Returns 400 Bad Request or 500 (InvalidOperation)
2. Error "Cannot create new UnitPrice in this time range"
3. Overlap</t>
  </si>
  <si>
    <t>1. Active price exists</t>
  </si>
  <si>
    <t>CONF-015</t>
  </si>
  <si>
    <t>Test preventing overlapping price ranges (Update)</t>
  </si>
  <si>
    <t>1. Price A: Jan 1 - Jan 31
2. Price B: Feb 1 - Feb 28
3. Update Price B to start Jan 20
4. Submit</t>
  </si>
  <si>
    <t>1. Returns 400/500
2. Error "Cannot update UnitPrice in this time range"
3. Overlap detected</t>
  </si>
  <si>
    <t>1. Two active prices</t>
  </si>
  <si>
    <t>CONF-016</t>
  </si>
  <si>
    <t>Test creating price with open-ended EffectiveTo</t>
  </si>
  <si>
    <t>1. Create price: EffectiveFrom = Tomorrow, EffectiveTo = null
2. Submit</t>
  </si>
  <si>
    <t>1. Returns 201 Created
2. Price valid indefinitely from start date</t>
  </si>
  <si>
    <t>1. No future prices exist</t>
  </si>
  <si>
    <t>CONF-017</t>
  </si>
  <si>
    <t>Test overlap with open-ended price</t>
  </si>
  <si>
    <t>1. Existing price: Jan 1 - null (forever)
2. Create new price: Feb 1 - Feb 28
3. Submit</t>
  </si>
  <si>
    <t>1. Returns Error
2. Overlap detected with open-ended existing price</t>
  </si>
  <si>
    <t>1. Open-ended price exists</t>
  </si>
  <si>
    <t>CONF-018</t>
  </si>
  <si>
    <t>Test creating price in gap period</t>
  </si>
  <si>
    <t>1. Price A: Jan 1 - Jan 15
2. Price B: Feb 1 - Feb 15
3. Create Price C: Jan 16 - Jan 31
4. Submit</t>
  </si>
  <si>
    <t>1. Returns 201 Created
2. No overlap detected
3. Gap filled successfully</t>
  </si>
  <si>
    <t>1. Gap exists between prices</t>
  </si>
  <si>
    <t>Update school's location</t>
  </si>
  <si>
    <t>CONF-019</t>
  </si>
  <si>
    <t>Test prevent update with invalid location</t>
  </si>
  <si>
    <t>1. Existing location: long 111.2 lat 122.3
2. New location: long 222.3 lat 333.4
3. Submit</t>
  </si>
  <si>
    <t>1. Returns 400 Bad Request or 500 (InvalidOperation)
2. Error "Cannot update with invalid location"
3. rejected</t>
  </si>
  <si>
    <t>1. Location exist</t>
  </si>
  <si>
    <t>CONF-020</t>
  </si>
  <si>
    <t>Test prevent other user except admin can update</t>
  </si>
  <si>
    <t>1. Login as parent
2. attempt to access the endpoint school/location/update</t>
  </si>
  <si>
    <t>1. Returns 400/500
2. Error "You're not allowed to access this"
3. Rejected</t>
  </si>
  <si>
    <t>1. login as parent</t>
  </si>
  <si>
    <t>CONF-021</t>
  </si>
  <si>
    <t>Test prevent updating during active trip</t>
  </si>
  <si>
    <t>1. Login as admin
2. Attempt to update the locaiton during active trip</t>
  </si>
  <si>
    <t>1. Returns badrequest 400
2. Location not updated during trip</t>
  </si>
  <si>
    <t>1. Trip and location exist</t>
  </si>
  <si>
    <t>Update school's information</t>
  </si>
  <si>
    <t>CONF-022</t>
  </si>
  <si>
    <t>Test prevent update with invalid information</t>
  </si>
  <si>
    <t>1. Schoolname: name with unallowed chars
2. SchoolImage: unsupported file type
3. Submit</t>
  </si>
  <si>
    <t>1. Returns 400 Bad Request
2. Error "Please try again with valid information"
3. rejected</t>
  </si>
  <si>
    <t>1. School exist</t>
  </si>
  <si>
    <t>CONF-023</t>
  </si>
  <si>
    <t>1. Login as parent
2. attempt to access the endpoint school/information/update</t>
  </si>
  <si>
    <t>CONF-024</t>
  </si>
  <si>
    <t>Test updating with valid data</t>
  </si>
  <si>
    <t>1. Login as admin
2. Valid image: png
3. Valid name: "FPT School"</t>
  </si>
  <si>
    <t>1. Returns 203 updated
2. School info updated successfully</t>
  </si>
  <si>
    <t>View school's information</t>
  </si>
  <si>
    <t>CONF-025</t>
  </si>
  <si>
    <t>Login to view school information</t>
  </si>
  <si>
    <t>1. Login as admin
2. Navigate about school page
3. Waiting for data to retrieve</t>
  </si>
  <si>
    <t>1. Returns 200 success
2. School information is displayed correctly</t>
  </si>
  <si>
    <t>CONF-026</t>
  </si>
  <si>
    <t>Navigate to school information as guest</t>
  </si>
  <si>
    <t>1. attempt to access the endpoint school/information/update as guest</t>
  </si>
  <si>
    <t>1. Returns 401
2. Error "You're not allowed to access this"</t>
  </si>
  <si>
    <t>1. Access as guest</t>
  </si>
  <si>
    <t>Verifies the complete schedule management flow—including creating, editing, assigning, and updating daily bus schedules—covering input validation, time/route consistency, conflict detection, role-based permissions, and reliable system updates.</t>
  </si>
  <si>
    <t>Create Schedule</t>
  </si>
  <si>
    <t>SCHED-001</t>
  </si>
  <si>
    <t>Create schedule with valid data</t>
  </si>
  <si>
    <t>1. Click "Create Schedule" button
2. Fill all required fields (name, type, start/end time, academic year, effective dates)
3. Select RRule pattern
4. Click "Save"</t>
  </si>
  <si>
    <t>1. Success message "Schedule created successfully"
2. Schedule appears in list
3. Modal closes</t>
  </si>
  <si>
    <t xml:space="preserve">1. User logged in as admin
2. Academic years available
</t>
  </si>
  <si>
    <t>SCHED-002</t>
  </si>
  <si>
    <t>Create schedule with missing required field</t>
  </si>
  <si>
    <t>1. Click "Create Schedule"
2. Leave "Schedule Name" field empty
3. Fill other required fields
4. Click "Save"</t>
  </si>
  <si>
    <t>1. Validation message "Schedule name is required"
2. Form submission blocked</t>
  </si>
  <si>
    <t>SCHED-003</t>
  </si>
  <si>
    <t>Create schedule with invalid time range</t>
  </si>
  <si>
    <t>1. Click "Create Schedule"
2. Set start time: 14:00
3. Set end time: 12:00
4. Fill other fields
5. Click "Save"</t>
  </si>
  <si>
    <t>1. Validation message "End time must be after start time"
2. Form submission blocked</t>
  </si>
  <si>
    <t>SCHED-004</t>
  </si>
  <si>
    <t>Create schedule with past effective date</t>
  </si>
  <si>
    <t>1. Click "Create Schedule"
2. Set "Effective From" to yesterday's date
3. Fill other required fields
4. Click "Save"</t>
  </si>
  <si>
    <t>1. Validation message "Effective date cannot be in the past"
2. Form submission blocked</t>
  </si>
  <si>
    <t>SCHED-005</t>
  </si>
  <si>
    <t>Create schedule with duplicate name</t>
  </si>
  <si>
    <t>1. Click "Create Schedule"
2. Enter name that already exists
3. Fill other required fields
4. Click "Save"</t>
  </si>
  <si>
    <t>1. API responds 409 (Conflict)
2. Error message "Schedule name already exists"</t>
  </si>
  <si>
    <t>1. Another schedule with same name exists</t>
  </si>
  <si>
    <t>SCHED-006</t>
  </si>
  <si>
    <t>Create schedule with invalid RRule</t>
  </si>
  <si>
    <t>1. Click "Create Schedule"
2. Select custom RRule mode
3. Create invalid RRule pattern
4. Fill other fields
5. Click "Save"</t>
  </si>
  <si>
    <t>1. RRule validation error appears
2. Form submission blocked</t>
  </si>
  <si>
    <t>SCHED-007</t>
  </si>
  <si>
    <t>Create schedule with backend unavailable</t>
  </si>
  <si>
    <t>1. Click "Create Schedule"
2. Fill all required fields
3. Mock API to return 503
4. Click "Save"</t>
  </si>
  <si>
    <t>1. Error toast "Service unavailable, try later"
2. Form remains open</t>
  </si>
  <si>
    <t>1. Backend offline / 503</t>
  </si>
  <si>
    <t>SCHED-008</t>
  </si>
  <si>
    <t>Create schedule with special characters in name</t>
  </si>
  <si>
    <t>1. Click "Create Schedule"
2. Enter name with special chars: "Test@#$%"
3. Fill other required fields
4. Click "Save"</t>
  </si>
  <si>
    <t>1. Success message "Schedule created successfully
2. Name displayed correctly</t>
  </si>
  <si>
    <t>SCHED-009</t>
  </si>
  <si>
    <t>Create schedule with very long name</t>
  </si>
  <si>
    <t>1. Click "Create Schedule
2. Enter name with 200+ characters
3. Fill other required fields
4. Click "Save"</t>
  </si>
  <si>
    <t>1. Validation message "Name too long (max 100 characters)"
2. Form submission blocked</t>
  </si>
  <si>
    <t>SCHED-010</t>
  </si>
  <si>
    <t>Create schedule with same start and end time</t>
  </si>
  <si>
    <t>1. Click "Create Schedule"
2. Set start time: 08:00
3. Set end time: 08:00
4. Fill other fields
5. Click "Save"</t>
  </si>
  <si>
    <t>SCHED-011</t>
  </si>
  <si>
    <t>Create schedule with effective to before effective from</t>
  </si>
  <si>
    <t>1. Click "Create Schedule"
2. Set "Effective From": 2024-12-01
3. Set "Effective To": 2024-11-01
4. Fill other fields
5. Click "Save"</t>
  </si>
  <si>
    <t>1. Validation message "Effective To must be after Effective From"
2. Form submission blocked</t>
  </si>
  <si>
    <t>SCHED-012</t>
  </si>
  <si>
    <t>Create schedule with network timeout</t>
  </si>
  <si>
    <t>1. Click "Create Schedule"
2. Fill all required fields
3. Simulate network timeout
4. Click "Save"</t>
  </si>
  <si>
    <t>1. Error message "Request timeout. Please check your connection"
2. Form remains open</t>
  </si>
  <si>
    <t>1. Network timeout simulated</t>
  </si>
  <si>
    <t>SCHED-013</t>
  </si>
  <si>
    <t>Create schedule with invalid academic year</t>
  </si>
  <si>
    <t>1. Click "Create Schedule"
2. Select invalid academic year
3. Fill other required fields
4. Click "Save"</t>
  </si>
  <si>
    <t>1. Validation message "Invalid academic year"
2. Form submission blocked</t>
  </si>
  <si>
    <t>1. Invalid academic year in dropdown</t>
  </si>
  <si>
    <t>SCHED-014</t>
  </si>
  <si>
    <t>Create schedule with RRule preview</t>
  </si>
  <si>
    <t>1. Click "Create Schedule"
2. Fill required fields
3. Click "Preview" button in RRule section
4. Verify preview dates</t>
  </si>
  <si>
    <t>1. Preview modal shows generated dates
2. Dates match RRule pattern
3. Preview updates when RRule changes</t>
  </si>
  <si>
    <t>SCHED-015</t>
  </si>
  <si>
    <t>Create schedule with unsaved changes navigation</t>
  </si>
  <si>
    <t>1. Click "Create Schedule"
2. Fill some fields
3. Try to navigate away
4. Confirm unsaved changes dialog</t>
  </si>
  <si>
    <t>1. Warning dialog "You have unsaved changes"
2. Options: Save, Discard, Cancel
3. Navigation blocked until choice made</t>
  </si>
  <si>
    <t>Update Schedule</t>
  </si>
  <si>
    <t>SCHED-016</t>
  </si>
  <si>
    <t>Update schedule with valid data</t>
  </si>
  <si>
    <t>1. Click "Edit" button on existing schedule
2. Modify schedule name and time
3. Click "Save Changes"</t>
  </si>
  <si>
    <t>1. Success message "Schedule updated successfully"
2. Changes reflected in list
3. Edit form closes</t>
  </si>
  <si>
    <t>1. Existing schedule available
2. User logged in as admin</t>
  </si>
  <si>
    <t>SCHED-017</t>
  </si>
  <si>
    <t>Update schedule with empty name</t>
  </si>
  <si>
    <t>1. Click "Edit" on existing schedule
2. Clear the "Schedule Name" field
3. Click "Save Changes"</t>
  </si>
  <si>
    <t>1. Validation message "Schedule name is required"
2. Update blocked</t>
  </si>
  <si>
    <t>1. Existing schedule available</t>
  </si>
  <si>
    <t>SCHED-018</t>
  </si>
  <si>
    <t>Update schedule with invalid time</t>
  </si>
  <si>
    <t>1. Click "Edit" on existing schedule
2. Set end time before start time
3. Click "Save Changes"</t>
  </si>
  <si>
    <t>1. Validation message "End time must be after start time"
2. Update blocked</t>
  </si>
  <si>
    <t>SCHED-019</t>
  </si>
  <si>
    <t>Update schedule with duplicate name</t>
  </si>
  <si>
    <t>1. Click "Edit" on Schedule A
2. Change name to match Schedule B
3. Click "Save Changes"</t>
  </si>
  <si>
    <t>1. Two different schedules exist</t>
  </si>
  <si>
    <t>SCHED-020</t>
  </si>
  <si>
    <t>Update schedule with expired session</t>
  </si>
  <si>
    <t>1. Click "Edit" on schedule
2. Manually clear authentication token
3. Click "Save Changes"</t>
  </si>
  <si>
    <t>1. User redirected to login page
2. Message "Session expired"</t>
  </si>
  <si>
    <t>1. Token removed/expired</t>
  </si>
  <si>
    <t>SCHED-021</t>
  </si>
  <si>
    <t>Update schedule with backend error</t>
  </si>
  <si>
    <t>1. Click "Edit" on schedule
2. Make changes
3. Mock API to return 500
4. Click "Save Changes"</t>
  </si>
  <si>
    <t>1. Error message "Failed to update schedule. Please try again"
2. Edit form remains open</t>
  </si>
  <si>
    <t>1. Backend returns 500 error</t>
  </si>
  <si>
    <t>SCHED-022</t>
  </si>
  <si>
    <t>Update schedule preserving exceptions</t>
  </si>
  <si>
    <t>1. Click "Edit" on schedule with exceptions
2. Change schedule name only
3. Click "Save Changes"</t>
  </si>
  <si>
    <t>1. Schedule name updated
2. Existing exceptions preserved
3. No data loss</t>
  </si>
  <si>
    <t>1. Schedule with existing exceptions</t>
  </si>
  <si>
    <t>SCHED-023</t>
  </si>
  <si>
    <t>Update schedule preserving time overrides</t>
  </si>
  <si>
    <t>1. Click "Edit" on schedule with time overrides
2. Change effective dates only
3. Click "Save Changes"</t>
  </si>
  <si>
    <t>1. Effective dates updated
2. Existing time overrides preserved
3. No data loss</t>
  </si>
  <si>
    <t>1. Schedule with existing time overrides</t>
  </si>
  <si>
    <t>SCHED-024</t>
  </si>
  <si>
    <t>Update schedule with RRule change</t>
  </si>
  <si>
    <t>1. Click "Edit" on schedule
2. Change RRule pattern
3. Click "Save Changes"</t>
  </si>
  <si>
    <t>1. Success message "Schedule updated successfully"
2. New RRule applied
3. Schedule regenerated</t>
  </si>
  <si>
    <t>SCHED-025</t>
  </si>
  <si>
    <t>Update schedule with invalid effective dates</t>
  </si>
  <si>
    <t>1. Click "Edit" on schedule
2. Set effective to before effective from
3. Click "Save Changes"</t>
  </si>
  <si>
    <t>1. Validation message "Effective To must be after Effective From"
2. Update blocked</t>
  </si>
  <si>
    <t>SCHED-026</t>
  </si>
  <si>
    <t>Update schedule with concurrent modification</t>
  </si>
  <si>
    <t>1. User A opens schedule for editing
2. User B opens same schedule for editing
3. User A saves changes
4. User B tries to save</t>
  </si>
  <si>
    <t>1. User B gets conflict warning
2. Option to refresh and re-edit
3. Data integrity maintained</t>
  </si>
  <si>
    <t>1. Two admin users logged in</t>
  </si>
  <si>
    <t>SCHED-027</t>
  </si>
  <si>
    <t>Update schedule with network interruption</t>
  </si>
  <si>
    <t>1. Click "Edit" on schedule
2. Make changes
3. Simulate network interruption
4. Click "Save Changes"</t>
  </si>
  <si>
    <t>1. Error message "Network error. Please try again"
2. Changes not lost
3. Retry option available</t>
  </si>
  <si>
    <t>1. Network interruption simulated</t>
  </si>
  <si>
    <t>SCHED-028</t>
  </si>
  <si>
    <t>Update schedule with large data</t>
  </si>
  <si>
    <t>1. Click "Edit" on schedule
2. Enter very long description (1000+ chars)
3. Click "Save Changes"</t>
  </si>
  <si>
    <t>1. Success message "Schedule updated successfully"
2. Long description saved correctly</t>
  </si>
  <si>
    <t>SCHED-029</t>
  </si>
  <si>
    <t>Update schedule cancel changes</t>
  </si>
  <si>
    <t>1. Click "Edit" on schedule
2. Make changes
3. Click "Cancel" button</t>
  </si>
  <si>
    <t>1. Edit form closes
2. Changes discarded
3. Original data preserved</t>
  </si>
  <si>
    <t>SCHED-030</t>
  </si>
  <si>
    <t>Update schedule with invalid characters</t>
  </si>
  <si>
    <t>1. Click "Edit" on schedule
2. Enter name with SQL injection chars
3. Click "Save Changes"</t>
  </si>
  <si>
    <t>1. Validation message "Invalid characters detected"
2. Update blocked
3. Security maintained</t>
  </si>
  <si>
    <t>View Schedule Detail</t>
  </si>
  <si>
    <t>SCHED-031</t>
  </si>
  <si>
    <t>View schedule details successfully</t>
  </si>
  <si>
    <t>1. Click "View Details" button on any schedule</t>
  </si>
  <si>
    <t>1. Modal opens with complete schedule information
2. Shows name, type, times, RRule, effective dates
3. Displays exception dates and time overrides</t>
  </si>
  <si>
    <t>SCHED-032</t>
  </si>
  <si>
    <t>View schedule with no exceptions</t>
  </si>
  <si>
    <t>1. Click "View Details" on schedule with no exceptions</t>
  </si>
  <si>
    <t>1. Modal opens
2. Exception section shows "No exceptions"
3. All other details displayed correctly</t>
  </si>
  <si>
    <t>1. Schedule with no exceptions exists</t>
  </si>
  <si>
    <t>SCHED-033</t>
  </si>
  <si>
    <t>View schedule with multiple exceptions</t>
  </si>
  <si>
    <t>1. Click "View Details" on schedule with exceptions</t>
  </si>
  <si>
    <t>1. Modal opens
2. All exception dates listed
3. Dates formatted correctly</t>
  </si>
  <si>
    <t>1. Schedule with exceptions exists</t>
  </si>
  <si>
    <t>SCHED-034</t>
  </si>
  <si>
    <t>View schedule details with API error</t>
  </si>
  <si>
    <t>1. Click "View Details"
2. Mock API to return 404</t>
  </si>
  <si>
    <t>1. Error message "Schedule not found"
2. Modal closes or shows error state</t>
  </si>
  <si>
    <t>1. API returns 404</t>
  </si>
  <si>
    <t>SCHED-035</t>
  </si>
  <si>
    <t>View schedule with time overrides</t>
  </si>
  <si>
    <t>1. Click "View Details" on schedule with time overrides</t>
  </si>
  <si>
    <t>1. Modal opens
2. Time overrides section shows all overrides
3. Override details displayed correctly</t>
  </si>
  <si>
    <t>1. Schedule with time overrides exists</t>
  </si>
  <si>
    <t>SCHED-036</t>
  </si>
  <si>
    <t>View schedule with complex RRule</t>
  </si>
  <si>
    <t>1. Click "View Details" on schedule with complex RRule</t>
  </si>
  <si>
    <t>1. Modal opens
2. RRule displayed in readable format
3. Generated dates preview available</t>
  </si>
  <si>
    <t>1. Schedule with complex RRule exists</t>
  </si>
  <si>
    <t>SCHED-037</t>
  </si>
  <si>
    <t>View schedule details modal close</t>
  </si>
  <si>
    <t>1. Click "View Details"
2. Click "X" button to close modal</t>
  </si>
  <si>
    <t>1. Modal closes
2. No data loss
3. Return to schedule list</t>
  </si>
  <si>
    <t>1. Schedule details modal open</t>
  </si>
  <si>
    <t>SCHED-038</t>
  </si>
  <si>
    <t>View schedule with expired effective dates</t>
  </si>
  <si>
    <t>1. Click "View Details" on expired schedule</t>
  </si>
  <si>
    <t>1. Modal opens
2. Shows expired status
3. Effective dates highlighted as expired</t>
  </si>
  <si>
    <t>1. Schedule with past effective dates</t>
  </si>
  <si>
    <t>SCHED-039</t>
  </si>
  <si>
    <t>View schedule with future effective dates</t>
  </si>
  <si>
    <t>1. Click "View Details" on future schedule</t>
  </si>
  <si>
    <t>1. Modal opens
2. Shows future status
3. Effective dates highlighted as future</t>
  </si>
  <si>
    <t>1. Schedule with future effective dates</t>
  </si>
  <si>
    <t>SCHED-040</t>
  </si>
  <si>
    <t>View schedule details with slow loading</t>
  </si>
  <si>
    <t>1. Click "View Details"
2. Simulate slow API response</t>
  </si>
  <si>
    <t>1. Loading spinner shown
2. Details load when ready
3. No timeout errors</t>
  </si>
  <si>
    <t>1. Slow API response simulated</t>
  </si>
  <si>
    <t>SCHED-041</t>
  </si>
  <si>
    <t>View schedule with malformed data</t>
  </si>
  <si>
    <t>1. Click "View Details"
2. Mock API to return malformed data</t>
  </si>
  <si>
    <t>1. Error message "Invalid data format"
2. Modal shows error state
3. Graceful error handling</t>
  </si>
  <si>
    <t>1. API returns malformed data</t>
  </si>
  <si>
    <t>SCHED-042</t>
  </si>
  <si>
    <t>View schedule details accessibility</t>
  </si>
  <si>
    <t>1. Click "View Details"
2. Navigate using keyboard only</t>
  </si>
  <si>
    <t>1. All elements accessible via keyboard
2. Focus management works
3. Screen reader compatible</t>
  </si>
  <si>
    <t>1. Keyboard navigation enabled</t>
  </si>
  <si>
    <t>SCHED-043</t>
  </si>
  <si>
    <t>View schedule details responsive</t>
  </si>
  <si>
    <t>1. Click "View Details"
2. Resize browser window</t>
  </si>
  <si>
    <t>1. Modal adapts to screen size
2. Content remains readable
3. No horizontal scroll</t>
  </si>
  <si>
    <t>1. Responsive design enabled</t>
  </si>
  <si>
    <t>SCHED-044</t>
  </si>
  <si>
    <t>View schedule details print</t>
  </si>
  <si>
    <t>1. Click "View Details"
2. Press Ctrl+P to print</t>
  </si>
  <si>
    <t>1. Print preview shows schedule details
2. Formatting preserved
3. No UI elements in print</t>
  </si>
  <si>
    <t>1. Print functionality available</t>
  </si>
  <si>
    <t>SCHED-045</t>
  </si>
  <si>
    <t>View schedule details copy data</t>
  </si>
  <si>
    <t>1. Click "View Details"
2. Select and copy schedule information</t>
  </si>
  <si>
    <t>1. Text selection works
2. Copy to clipboard successful
3. Data integrity maintained</t>
  </si>
  <si>
    <t>1. Text selection enabled</t>
  </si>
  <si>
    <t>View All Schedule</t>
  </si>
  <si>
    <t>SCHED-061</t>
  </si>
  <si>
    <t>View all schedules successfully</t>
  </si>
  <si>
    <t>1. Navigate to Schedule Management page
2. Ensure "Schedules" tab is active</t>
  </si>
  <si>
    <t>1. All schedules displayed in list
2. Pagination works if &gt;5 schedules
3. Each schedule shows name, type, times, status</t>
  </si>
  <si>
    <t>1. Schedules exist in system</t>
  </si>
  <si>
    <t>SCHED-062</t>
  </si>
  <si>
    <t>Search schedules by name</t>
  </si>
  <si>
    <t>1. Enter schedule name in search box
2. Press Enter or wait for auto-search</t>
  </si>
  <si>
    <t>1. Only matching schedules displayed
2. Search is case-insensitive</t>
  </si>
  <si>
    <t>1. Multiple schedules with different names exist</t>
  </si>
  <si>
    <t>SCHED-063</t>
  </si>
  <si>
    <t>Filter schedules by status</t>
  </si>
  <si>
    <t>1. Select "Active Only" from filter dropdown</t>
  </si>
  <si>
    <t>1. Only active schedules displayed
2. Inactive schedules hidden</t>
  </si>
  <si>
    <t>1. Mix of active/inactive schedules exist</t>
  </si>
  <si>
    <t>SCHED-064</t>
  </si>
  <si>
    <t>Pagination with many schedules</t>
  </si>
  <si>
    <t>1. Ensure &gt;5 schedules exist
2. Navigate through pages</t>
  </si>
  <si>
    <t>1. Shows 5 schedules per page
2. Pagination controls work correctly
3. Page numbers update correctly</t>
  </si>
  <si>
    <t>1. &gt;5 schedules exist</t>
  </si>
  <si>
    <t>SCHED-065</t>
  </si>
  <si>
    <t>View schedules with empty state</t>
  </si>
  <si>
    <t>1. Navigate to Schedule Management
2. When no schedules exist</t>
  </si>
  <si>
    <t>1. Shows "No schedules found" message
2. Create button still available</t>
  </si>
  <si>
    <t>1. No schedules in system</t>
  </si>
  <si>
    <t>SCHED-066</t>
  </si>
  <si>
    <t>Search schedules with partial match</t>
  </si>
  <si>
    <t>1. Enter partial schedule name
2. Wait for search results</t>
  </si>
  <si>
    <t>1. All schedules containing search term displayed
2. Partial matches highlighted</t>
  </si>
  <si>
    <t>1. Multiple schedules with similar names exist</t>
  </si>
  <si>
    <t>SCHED-067</t>
  </si>
  <si>
    <t>Filter schedules by type</t>
  </si>
  <si>
    <t>1. Add schedule type filter
2. Select "School Day" type</t>
  </si>
  <si>
    <t>1. Only school day schedules displayed
2. Other types hidden</t>
  </si>
  <si>
    <t>1. Schedules with different types exist</t>
  </si>
  <si>
    <t>SCHED-068</t>
  </si>
  <si>
    <t>Sort schedules by name</t>
  </si>
  <si>
    <t>1. Click on "Name" column header
2. Verify sorting order</t>
  </si>
  <si>
    <t>1. Schedules sorted alphabetically
2. Sort direction indicated
3. Click again reverses order</t>
  </si>
  <si>
    <t>1. Multiple schedules exist</t>
  </si>
  <si>
    <t>SCHED-069</t>
  </si>
  <si>
    <t>Sort schedules by effective date</t>
  </si>
  <si>
    <t>1. Click on "Effective From" column header
2. Verify sorting order</t>
  </si>
  <si>
    <t>1. Schedules sorted by effective date
2. Sort direction indicated
3. Click again reverses order</t>
  </si>
  <si>
    <t>1. Multiple schedules with different effective dates exist</t>
  </si>
  <si>
    <t>SCHED-070</t>
  </si>
  <si>
    <t>View schedules with loading state</t>
  </si>
  <si>
    <t>1. Navigate to Schedule Management
2. Simulate slow API response</t>
  </si>
  <si>
    <t>1. Loading spinner displayed
2. Schedules load when ready
3. No timeout errors</t>
  </si>
  <si>
    <t>SCHED-071</t>
  </si>
  <si>
    <t>View schedules with API error</t>
  </si>
  <si>
    <t>1. Navigate to Schedule Management
2. Mock API to return 500 error</t>
  </si>
  <si>
    <t>1. Error message "Failed to load schedules"
2. Empty state with error message
3. Retry button available</t>
  </si>
  <si>
    <t>1. API returns 500 error</t>
  </si>
  <si>
    <t>SCHED-072</t>
  </si>
  <si>
    <t>View schedules responsive design</t>
  </si>
  <si>
    <t>1. Navigate to Schedule Management
2. Resize browser window</t>
  </si>
  <si>
    <t>1. Layout adapts to screen size
2. Content remains readable
3. No horizontal scroll</t>
  </si>
  <si>
    <t>SCHED-073</t>
  </si>
  <si>
    <t>View schedules with large dataset</t>
  </si>
  <si>
    <t>1. Navigate to Schedule Management
2. With 100+ schedules in system</t>
  </si>
  <si>
    <t>1. Pagination works correctly
2. Performance remains good
3. No memory issues</t>
  </si>
  <si>
    <t>1. Large number of schedules exist</t>
  </si>
  <si>
    <t>SCHED-074</t>
  </si>
  <si>
    <t>View schedules with special characters</t>
  </si>
  <si>
    <t>1. Navigate to Schedule Management
2. With schedules containing special characters</t>
  </si>
  <si>
    <t>1. Special characters displayed correctly
2. No encoding issues
3. Search works with special chars</t>
  </si>
  <si>
    <t>1. Schedules with special characters exist</t>
  </si>
  <si>
    <t>SCHED-075</t>
  </si>
  <si>
    <t>View schedules accessibility</t>
  </si>
  <si>
    <t>1. Navigate to Schedule Management
2. Use screen reader</t>
  </si>
  <si>
    <t>1. All elements accessible
2. Proper ARIA labels
3. Keyboard navigation works</t>
  </si>
  <si>
    <t>1. Screen reader enabled</t>
  </si>
  <si>
    <t>SCHED-076</t>
  </si>
  <si>
    <t>View schedules with concurrent users</t>
  </si>
  <si>
    <t>1. Multiple users navigate to Schedule Management
2. One user creates new schedule</t>
  </si>
  <si>
    <t>1. Other users see new schedule
2. Real-time updates work
3. No conflicts</t>
  </si>
  <si>
    <t>1. Multiple users logged in</t>
  </si>
  <si>
    <t>SCHED-077</t>
  </si>
  <si>
    <t>View schedules with expired sessions</t>
  </si>
  <si>
    <t>1. Navigate to Schedule Management
2. Session expires during viewing</t>
  </si>
  <si>
    <t>1. User redirected to login
2. Message "Session expired"
3. No data loss</t>
  </si>
  <si>
    <t>1. Session timeout configured</t>
  </si>
  <si>
    <t>SCHED-078</t>
  </si>
  <si>
    <t>View schedules with network interruption</t>
  </si>
  <si>
    <t>1. Navigate to Schedule Management
2. Simulate network interruption</t>
  </si>
  <si>
    <t>1. Error message "Network error"
2. Retry option available
3. Data preserved when reconnected</t>
  </si>
  <si>
    <t>SCHED-079</t>
  </si>
  <si>
    <t>View schedules with malformed data</t>
  </si>
  <si>
    <t>1. Navigate to Schedule Management
2. Mock API to return malformed data</t>
  </si>
  <si>
    <t>1. Error message "Invalid data format"
2. Graceful error handling
3. No application crash</t>
  </si>
  <si>
    <t>SCHED-080</t>
  </si>
  <si>
    <t>View schedules with mixed languages</t>
  </si>
  <si>
    <t>1. Navigate to Schedule Management
2. With schedules in different languages</t>
  </si>
  <si>
    <t>1. All schedules displayed correctly
2. No encoding issues
3. Search works across languages</t>
  </si>
  <si>
    <t>1. Schedules in multiple languages exist</t>
  </si>
  <si>
    <t>Add Exception Date</t>
  </si>
  <si>
    <t>SCHED-081</t>
  </si>
  <si>
    <t>Add valid exception date</t>
  </si>
  <si>
    <t>1. Click "Manage Exceptions" on schedule
2. Select future date within effective range
3. Click "Add Exception"</t>
  </si>
  <si>
    <t>1. Success message "Exception added successfully"
2. Date appears in exceptions list
3. Schedule updated</t>
  </si>
  <si>
    <t>SCHED-082</t>
  </si>
  <si>
    <t>Add exception date in the past</t>
  </si>
  <si>
    <t>1. Click "Manage Exceptions"
2. Select yesterday's date
3. Click "Add Exception"</t>
  </si>
  <si>
    <t>1. Validation message "Exception date cannot be in the past"
2. Exception not added</t>
  </si>
  <si>
    <t>1. Schedule with effective date range</t>
  </si>
  <si>
    <t>SCHED-083</t>
  </si>
  <si>
    <t>Add exception date outside effective range</t>
  </si>
  <si>
    <t>1. Click "Manage Exceptions"
2. Select date before effective from
3. Click "Add Exception"</t>
  </si>
  <si>
    <t>1. Validation message "Date must be on or after Effective From"
2. Exception not added</t>
  </si>
  <si>
    <t>SCHED-084</t>
  </si>
  <si>
    <t>Add duplicate exception date</t>
  </si>
  <si>
    <t>1. Click "Manage Exceptions"
2. Select date that already exists in exceptions
3. Click "Add Exception"</t>
  </si>
  <si>
    <t>1. Validation message "This date is already an exception"
2. Exception not added</t>
  </si>
  <si>
    <t>SCHED-085</t>
  </si>
  <si>
    <t>Remove exception date</t>
  </si>
  <si>
    <t>1. Click "Manage Exceptions"
2. Click "Remove" button next to existing exception
3. Confirm removal</t>
  </si>
  <si>
    <t>1. Success message "Exception removed successfully"
2. Date removed from list</t>
  </si>
  <si>
    <t>SCHED-086</t>
  </si>
  <si>
    <t>Add exception date with API error</t>
  </si>
  <si>
    <t>1. Click "Manage Exceptions"
2. Select valid date
3. Mock API to return 500
4. Click "Add Exception"</t>
  </si>
  <si>
    <t>1. Error message "Failed to add exception"
2. Exception not added
3. Modal remains open</t>
  </si>
  <si>
    <t>SCHED-087</t>
  </si>
  <si>
    <t>Add multiple exception dates</t>
  </si>
  <si>
    <t>1. Click "Manage Exceptions"
2. Add first exception date
3. Add second exception date
4. Verify both added</t>
  </si>
  <si>
    <t>1. Both dates appear in list
2. Success messages for each
3. Schedule updated correctly</t>
  </si>
  <si>
    <t>SCHED-088</t>
  </si>
  <si>
    <t>Add exception date with network timeout</t>
  </si>
  <si>
    <t>1. Click "Manage Exceptions"
2. Select valid date
3. Simulate network timeout
4. Click "Add Exception"</t>
  </si>
  <si>
    <t>1. Error message "Request timeout"
2. Exception not added
3. Retry option available</t>
  </si>
  <si>
    <t>SCHED-089</t>
  </si>
  <si>
    <t>Add exception date with expired session</t>
  </si>
  <si>
    <t>1. Click "Manage Exceptions"
2. Select valid date
3. Session expires
4. Click "Add Exception"</t>
  </si>
  <si>
    <t>SCHED-090</t>
  </si>
  <si>
    <t>Add exception date with invalid format</t>
  </si>
  <si>
    <t>1. Click "Manage Exceptions"
2. Manually enter invalid date format
3. Click "Add Exception"</t>
  </si>
  <si>
    <t>1. Validation message "Invalid date format"
2. Exception not added
3. Date picker resets</t>
  </si>
  <si>
    <t>SCHED-091</t>
  </si>
  <si>
    <t>Add exception date on weekend</t>
  </si>
  <si>
    <t>1. Click "Manage Exceptions"
2. Select Saturday date
3. Click "Add Exception"</t>
  </si>
  <si>
    <t>1. Success message "Exception added successfully"
2. Weekend date added correctly
3. No special restrictions</t>
  </si>
  <si>
    <t>SCHED-092</t>
  </si>
  <si>
    <t>Add exception date on holiday</t>
  </si>
  <si>
    <t>1. Click "Manage Exceptions"
2. Select holiday date
3. Click "Add Exception"</t>
  </si>
  <si>
    <t>1. Success message "Exception added successfully"
2. Holiday date added correctly
3. No special restrictions</t>
  </si>
  <si>
    <t>SCHED-093</t>
  </si>
  <si>
    <t>Add exception date with concurrent 
modification</t>
  </si>
  <si>
    <t>1. User A opens exceptions modal
2. User B opens same modal
3. Both add different exception dates</t>
  </si>
  <si>
    <t>1. Both exceptions added successfully
2. No conflicts
3. Data consistency maintained</t>
  </si>
  <si>
    <t>SCHED-094</t>
  </si>
  <si>
    <t>Add exception date with large dataset</t>
  </si>
  <si>
    <t>1. Click "Manage Exceptions"
2. Add 50+ exception dates
3. Verify all added</t>
  </si>
  <si>
    <t>1. All dates added successfully 
2. Performance remains good 
3. UI remains responsive</t>
  </si>
  <si>
    <t>SCHED-095</t>
  </si>
  <si>
    <t>Add exception date with malformed data</t>
  </si>
  <si>
    <t>1. Click "Manage Exceptions"
2. Mock API to return malformed response 
3. Click "Add Exception"</t>
  </si>
  <si>
    <t>1. Error message "Invalid data format" 
2. Exception not added 
3. Graceful error handling</t>
  </si>
  <si>
    <t>SCHED-096</t>
  </si>
  <si>
    <t>Add exception date accessibility</t>
  </si>
  <si>
    <t>1. Click "Manage Exceptions" 
2. Use keyboard navigation only</t>
  </si>
  <si>
    <t>1. All elements accessible via keyboard 
2. Focus management works 
3. Screen reader compatible</t>
  </si>
  <si>
    <t>SCHED-097</t>
  </si>
  <si>
    <t>Add exception date responsive</t>
  </si>
  <si>
    <t>1. Click "Manage Exceptions" 
2. Resize browser window</t>
  </si>
  <si>
    <t>1. Modal adapts to screen size 
2. Content remains readable 
3. No layout issues</t>
  </si>
  <si>
    <t>SCHED-098</t>
  </si>
  <si>
    <t>Add exception date with special characters</t>
  </si>
  <si>
    <t>1. Click "Manage Exceptions" 
2. Add exception with special characters in notes 
3. Click "Add Exception"</t>
  </si>
  <si>
    <t>1. Success message "Exception added successfully" 
2. Special characters handled correctly 
3. No encoding issues</t>
  </si>
  <si>
    <t>SCHED-099</t>
  </si>
  <si>
    <t>Add exception date with validation edge cases</t>
  </si>
  <si>
    <t>1. Click "Manage Exceptions" 
2. Select date exactly on effective from 
3. Click "Add Exception"</t>
  </si>
  <si>
    <t>1. Success message "Exception added successfully" 
2. Boundary date handled correctly 
3. Validation works properly</t>
  </si>
  <si>
    <t>SCHED-100</t>
  </si>
  <si>
    <t>Add exception date with undo functionality</t>
  </si>
  <si>
    <t>1. Click "Manage Exceptions" 
2. Add exception date 
3. Click "Undo" button</t>
  </si>
  <si>
    <t>1. Exception removed from list 
2. Success message "Exception removed" 
3. Undo functionality works</t>
  </si>
  <si>
    <t>Add Time Overrides</t>
  </si>
  <si>
    <t>SCHED-101</t>
  </si>
  <si>
    <t>Add valid time override</t>
  </si>
  <si>
    <t>1. Click "Time Overrides" on schedule 2. Click "Add Time Override" 3. Fill date, start/end time, reason 4. Click "Save"</t>
  </si>
  <si>
    <t>1. Success message "Time override added successfully" 2. Override appears in list 3. Modal closes</t>
  </si>
  <si>
    <t>Existing schedule available</t>
  </si>
  <si>
    <t>SCHED-102</t>
  </si>
  <si>
    <t>Add time override with invalid time</t>
  </si>
  <si>
    <t>1. Click "Add Time Override" 
2. Set end time before start time 
3. Fill other fields 
4. Click "Save"</t>
  </si>
  <si>
    <t>1. Validation message "End time must be after start time" 
2. Override not added</t>
  </si>
  <si>
    <t>SCHED-103</t>
  </si>
  <si>
    <t>Add time override with missing reason</t>
  </si>
  <si>
    <t>1. Click "Add Time Override" 
2. Fill date and times 
3. Leave reason field empty 
4. Click "Save"</t>
  </si>
  <si>
    <t>1. Validation message "Reason is required" 
2. Override not added</t>
  </si>
  <si>
    <t>SCHED-104</t>
  </si>
  <si>
    <t>Add time override for exception date</t>
  </si>
  <si>
    <t>1. Click "Add Time Override" 
2. Select "Exception Override" type 
3. Choose existing exception date 
4. Fill times and reason 
5. Click "Save"</t>
  </si>
  <si>
    <t>1. Success message "Time override added successfully" 
2. Override linked to exception date</t>
  </si>
  <si>
    <t>SCHED-105</t>
  </si>
  <si>
    <t>Edit existing time override</t>
  </si>
  <si>
    <t>1. Click "Time Overrides" 
2. Click "Edit" on existing override 
3. Modify times and reason 
4. Click "Save"</t>
  </si>
  <si>
    <t>1. Success message "Time override updated successfully" 
2. Changes reflected in list</t>
  </si>
  <si>
    <t>SCHED-106</t>
  </si>
  <si>
    <t>Delete time override</t>
  </si>
  <si>
    <t>1. Click "Time Overrides" 
2. Click "Delete" on existing override 
3. Confirm deletion</t>
  </si>
  <si>
    <t>1. Success message "Time override deleted successfully" 
2. Override removed from list</t>
  </si>
  <si>
    <t>SCHED-107</t>
  </si>
  <si>
    <t>Add time override with backend error</t>
  </si>
  <si>
    <t>1. Click "Add Time Override" 
2. Fill valid data 
3. Mock API to return 500 
4. Click "Save"</t>
  </si>
  <si>
    <t>1. Error message "Failed to save time override" 
2. Modal remains open</t>
  </si>
  <si>
    <t>SCHED-108</t>
  </si>
  <si>
    <t>Add time override with same start/end time</t>
  </si>
  <si>
    <t>1. Click "Add Time Override" 
2. Set start time: 08:00 
3. Set end time: 08:00 
4. Fill other fields 
5. Click "Save"</t>
  </si>
  <si>
    <t>SCHED-109</t>
  </si>
  <si>
    <t>Add time override with very long reason</t>
  </si>
  <si>
    <t>1. Click "Add Time Override" 
2. Enter reason with 500+ characters 
3. Fill other fields 
4. Click "Save"</t>
  </si>
  <si>
    <t>1. Success message "Time override added successfully" 
2. Long reason saved correctly</t>
  </si>
  <si>
    <t>SCHED-110</t>
  </si>
  <si>
    <t>Add time override with special characters</t>
  </si>
  <si>
    <t>1. Click "Add Time Override" 
2. Enter reason with special characters 
3. Fill other fields 
4. Click "Save"</t>
  </si>
  <si>
    <t>1. Success message "Time override added successfully" 
2. Special characters handled correctly</t>
  </si>
  <si>
    <t>SCHED-111</t>
  </si>
  <si>
    <t>Add time override with past date</t>
  </si>
  <si>
    <t>1. Click "Add Time Override" 
2. Select yesterday's date 
3. Fill other fields 
4. Click "Save"</t>
  </si>
  <si>
    <t>1. Validation message "Override date cannot be in the past" 
2. Override not added</t>
  </si>
  <si>
    <t>SCHED-112</t>
  </si>
  <si>
    <t>Add time override with future date</t>
  </si>
  <si>
    <t>1. Click "Add Time Override" 
2. Select date 1 year in future 
3. Fill other fields 
4. Click "Save"</t>
  </si>
  <si>
    <t>1. Success message "Time override added successfully" 
2. Future date handled correctly</t>
  </si>
  <si>
    <t>SCHED-113</t>
  </si>
  <si>
    <t>Add time override with network timeout</t>
  </si>
  <si>
    <t>1. Click "Add Time Override" 
2. Fill valid data 
3. Simulate network timeout 
4. Click "Save"</t>
  </si>
  <si>
    <t>1. Error message "Request timeout" 
2. Override not added 
3. Retry option available</t>
  </si>
  <si>
    <t>SCHED-114</t>
  </si>
  <si>
    <t>Add time override with expired session</t>
  </si>
  <si>
    <t>1. Click "Add Time Override" 
2. Fill valid data 
3. Session expires 
4. Click "Save"</t>
  </si>
  <si>
    <t>1. User redirected to login 
2. Message "Session expired" 
3. No data loss</t>
  </si>
  <si>
    <t>SCHED-115</t>
  </si>
  <si>
    <t>Add time override with duplicate date</t>
  </si>
  <si>
    <t>1. Click "Add Time Override" 
2. Select date that already has override 
3. Fill other fields 
4. Click "Save"</t>
  </si>
  <si>
    <t>1. Validation message "Override already exists for this date" 
2. Override not added</t>
  </si>
  <si>
    <t>1. Schedule with existing time override</t>
  </si>
  <si>
    <t>SCHED-116</t>
  </si>
  <si>
    <t>Add time override with cancelled status</t>
  </si>
  <si>
    <t>1. Click "Add Time Override" 
2. Check "Cancelled" checkbox 
3. Fill other fields 
4. Click "Save"</t>
  </si>
  <si>
    <t>1. Success message "Time override added successfully" 
2. Override marked as cancelled 3. Cancelled status displayed</t>
  </si>
  <si>
    <t>SCHED-117</t>
  </si>
  <si>
    <t>Add time override with concurrent 
modification</t>
  </si>
  <si>
    <t>1. User A opens time overrides 
2. User B opens same time overrides 
3. Both add different overrides</t>
  </si>
  <si>
    <t>1. Both overrides added successfully 
2. No conflicts 
3. Data consistency maintained</t>
  </si>
  <si>
    <t>SCHED-118</t>
  </si>
  <si>
    <t>Add time override with large dataset</t>
  </si>
  <si>
    <t>1. Click "Time Overrides" 
2. Add 100+ time overrides 
3. Verify all added</t>
  </si>
  <si>
    <t>1. All overrides added successfully 
2. Performance remains good 
3. UI remains responsive</t>
  </si>
  <si>
    <t>SCHED-119</t>
  </si>
  <si>
    <t>Add time override with malformed data</t>
  </si>
  <si>
    <t>1. Click "Add Time Override" 
2. Mock API to return malformed response 
3. Click "Save"</t>
  </si>
  <si>
    <t>1. Error message "Invalid data format" 
2. Override not added 
3. Graceful error handling</t>
  </si>
  <si>
    <t>SCHED-120</t>
  </si>
  <si>
    <t>Add time override accessibility</t>
  </si>
  <si>
    <t>1. Click "Time Overrides" 
2. Use keyboard navigation only</t>
  </si>
  <si>
    <t>SCHED-121</t>
  </si>
  <si>
    <t>Add time override responsive</t>
  </si>
  <si>
    <t>1. Click "Time Overrides" 
2. Resize browser window</t>
  </si>
  <si>
    <t>SCHED-122</t>
  </si>
  <si>
    <t>Add time override with invalid time format</t>
  </si>
  <si>
    <t>1. Click "Add Time Override" 
2. Enter invalid time format manually 
3. Click "Save"</t>
  </si>
  <si>
    <t>1. Validation message "Invalid time format" 
2. Override not added 
3. Time picker resets</t>
  </si>
  <si>
    <t>SCHED-123</t>
  </si>
  <si>
    <t>Add time override with boundary times</t>
  </si>
  <si>
    <t>1. Click "Add Time Override" 
2. Set start time: 00:00 
3. Set end time: 23:59 
4. Fill other fields 
5. Click "Save"</t>
  </si>
  <si>
    <t>1. Success message "Time override added successfully" 
2. Boundary times handled correctly 
3. No validation issues</t>
  </si>
  <si>
    <t>SCHED-124</t>
  </si>
  <si>
    <t>Add time override with undo functionality</t>
  </si>
  <si>
    <t>1. Click "Add Time Override" 
2. Add override 
3. Click "Undo" button</t>
  </si>
  <si>
    <t>1. Override removed from list 
2. Success message "Override removed" 
3. Undo functionality works</t>
  </si>
  <si>
    <t>SCHED-125</t>
  </si>
  <si>
    <t>Add time override with export functionality</t>
  </si>
  <si>
    <t>1. Click "Time Overrides" 
2. Add several overrides 
3. Click "Export" button</t>
  </si>
  <si>
    <t>1. Export file generated 
2. All overrides included 
3. File format correct</t>
  </si>
  <si>
    <t>Intergration Test</t>
  </si>
  <si>
    <t>SCHED-126</t>
  </si>
  <si>
    <t>Complete schedule workflow</t>
  </si>
  <si>
    <t>1. Create new schedule 
2. Add exception dates 
3. Add time overrides 
4. Edit schedule details 
5. View final result</t>
  </si>
  <si>
    <t>1. All operations successful 
2. Final schedule shows all modifications 
3. Data consistency maintained</t>
  </si>
  <si>
    <t>1. User logged in as admin</t>
  </si>
  <si>
    <t>SCHED-127</t>
  </si>
  <si>
    <t>Schedule with complex RRule</t>
  </si>
  <si>
    <t>1. Create schedule with custom RRule 
2. Set complex recurrence pattern 
3. Preview generated dates 
4. Save schedule</t>
  </si>
  <si>
    <t>1. RRule validation passes 
2. Preview shows correct dates 
3. Schedule created successfully</t>
  </si>
  <si>
    <t>SCHED-128</t>
  </si>
  <si>
    <t>Multiple users editing same schedule</t>
  </si>
  <si>
    <t>1. User A opens schedule for editing 
2. User B opens same schedule for editing 
3. User A saves changes 
4. User B tries to save</t>
  </si>
  <si>
    <t>1. User B gets conflict warning 
2. Option to refresh and re-edit 
3. Data integrity maintained</t>
  </si>
  <si>
    <t>SCHED-129</t>
  </si>
  <si>
    <t>Schedule with all features combined</t>
  </si>
  <si>
    <t>1. Create schedule with RRule 
2. Add multiple exception dates 
3. Add multiple time overrides 
4. Edit schedule details 
5. View complete schedule</t>
  </si>
  <si>
    <t>1. All features work together 
2. Data consistency maintained 
3. Performance remains good</t>
  </si>
  <si>
    <t>SCHED-130</t>
  </si>
  <si>
    <t>Schedule with data migration</t>
  </si>
  <si>
    <t>1. Create schedule in old format 
2. Migrate to new format 
3. Verify all data preserved 
4. Test all functions</t>
  </si>
  <si>
    <t>1. Migration successful 
2. All data preserved 
3. All functions work correctly</t>
  </si>
  <si>
    <t>1. Old format schedule exists</t>
  </si>
  <si>
    <t>SCHED-131</t>
  </si>
  <si>
    <t>Schedule with backup and restore</t>
  </si>
  <si>
    <t>1. Create schedule with data 
2. Backup schedule data 
3. Delete schedule 
4. Restore from backup 
5. Verify data integrity</t>
  </si>
  <si>
    <t>1. Backup successful 
2. Restore successful 
3. All data preserved 
4. Functions work correctly</t>
  </si>
  <si>
    <t>SCHED-132</t>
  </si>
  <si>
    <t>Schedule with performance testing</t>
  </si>
  <si>
    <t>1. Create 1000+ schedules 
2. Add exceptions and overrides 
3. Test all CRUD operations 
4. Measure performance</t>
  </si>
  <si>
    <t>1. All operations complete within acceptable time 
2. No memory leaks 
3. UI remains responsive</t>
  </si>
  <si>
    <t>1. Large dataset available</t>
  </si>
  <si>
    <t>SCHED-133</t>
  </si>
  <si>
    <t>Schedule with security testing</t>
  </si>
  <si>
    <t>1. Attempt SQL injection in schedule name 
2. Attempt XSS in description 
3. Test authorization 
4. Test data validation</t>
  </si>
  <si>
    <t>1. All attacks blocked 
2. Data sanitized 
3. Authorization enforced 
4. Validation works</t>
  </si>
  <si>
    <t>1. Security testing enabled</t>
  </si>
  <si>
    <t>SCHED-134</t>
  </si>
  <si>
    <t>Schedule with error recovery</t>
  </si>
  <si>
    <t>1. Create schedule 
2. Simulate various errors 
3. Test error recovery 
4. Verify data integrity</t>
  </si>
  <si>
    <t>1. Errors handled gracefully 
2. Data integrity maintained 
3. Recovery mechanisms work 
4. No data loss</t>
  </si>
  <si>
    <t>1. Error simulation enabled</t>
  </si>
  <si>
    <t>SCHED-135</t>
  </si>
  <si>
    <t>Schedule with cross-browser testing</t>
  </si>
  <si>
    <t>1. Test in Chrome 
2. Test in Firefox 
3. Test in Safari 
4. Test in Edge</t>
  </si>
  <si>
    <t>1. All browsers work correctly 
2. No browser-specific issues 
3. Consistent behavior 
4. All features functional</t>
  </si>
  <si>
    <t>1. Multiple browsers available</t>
  </si>
  <si>
    <t>SCHED-136</t>
  </si>
  <si>
    <t>Schedule with mobile responsiveness</t>
  </si>
  <si>
    <t>1. Test on mobile device 
2. Test on tablet 
3. Test on desktop 
4. Verify responsive design</t>
  </si>
  <si>
    <t>1. All devices work correctly 
2. Responsive design functions 
3. Touch interactions work 
4. Performance acceptable</t>
  </si>
  <si>
    <t>1. Multiple devices available</t>
  </si>
  <si>
    <t>SCHED-137</t>
  </si>
  <si>
    <t>Schedule with accessibility testing</t>
  </si>
  <si>
    <t>1. Test with screen reader 
2. Test keyboard navigation 
3. Test color contrast 
4. Test ARIA labels</t>
  </si>
  <si>
    <t>1. All accessibility features work 
2. Screen reader compatible 
3. Keyboard navigation works 
4. ARIA labels correct</t>
  </si>
  <si>
    <t>1. Accessibility testing enabled</t>
  </si>
  <si>
    <t>SCHED-138</t>
  </si>
  <si>
    <t>Schedule with internationalization</t>
  </si>
  <si>
    <t>1. Test in English 
2. Test in Vietnamese 
3. Test in other languages 
4. Verify date/time formats</t>
  </si>
  <si>
    <t>1. All languages work correctly 
2. Date/time formats correct 
3. Text properly translated 
4. No encoding issues</t>
  </si>
  <si>
    <t>1. Multiple languages enabled</t>
  </si>
  <si>
    <t>SCHED-139</t>
  </si>
  <si>
    <t>Schedule with offline functionality</t>
  </si>
  <si>
    <t>1. Create schedule offline 
2. Add exceptions offline 
3. Go online 
4. Sync data</t>
  </si>
  <si>
    <t>1. Offline functionality works 
2. Data synced correctly 
3. No conflicts 
4. Data integrity maintained</t>
  </si>
  <si>
    <t>1. Offline mode enabled</t>
  </si>
  <si>
    <t>SCHED-140</t>
  </si>
  <si>
    <t>Schedule with real-time updates</t>
  </si>
  <si>
    <t>1. User A creates schedule 
2. User B views schedule list 
3. Verify real-time update 
4. Test all real-time features</t>
  </si>
  <si>
    <t>1. Real-time updates work 
2. All users see changes 
3. No conflicts 
4. Performance acceptable</t>
  </si>
  <si>
    <t>1. Real-time functionality enabled</t>
  </si>
  <si>
    <t>Verifies the complete vehicle management flow—including registering, editing, assigning, monitoring, and deactivating vehicles—covering input validation, operational constraints, assignment consistency, safety parameters, and role-based permissions.</t>
  </si>
  <si>
    <t>Tracks and maintains vehicle details, capacity, documents, and operational status.</t>
  </si>
  <si>
    <t>VEH-001</t>
  </si>
  <si>
    <t>Test creating a new vehicle with all valid information</t>
  </si>
  <si>
    <t xml:space="preserve">1.Login as admin
2.Navigate to Vehicle Management
3.Click "Create Vehicle"
4. Fill license plate "30H-12345"
5.Select capacity "16 seats"
6.Select status "Active"
7.Click "Create Vehicle"                         </t>
  </si>
  <si>
    <t>1.Success message appears
2.Vehicle created successfully
3.Redirected to vehicle list</t>
  </si>
  <si>
    <t>1. Admin session active</t>
  </si>
  <si>
    <t>VEH-002</t>
  </si>
  <si>
    <t>Test validation for incorrect license plate format</t>
  </si>
  <si>
    <t>1.Login as admin
2.Navigate to Vehicle Management
3.Enter license plate "ABC123"
4.Fill other valid fields.
5.Click "Create Vehicle"</t>
  </si>
  <si>
    <t>1. Validation message "Invalid Vietnam license plate format"</t>
  </si>
  <si>
    <t xml:space="preserve"> None</t>
  </si>
  <si>
    <t>VEH-003</t>
  </si>
  <si>
    <t>Test creating vehicle with existing license plate</t>
  </si>
  <si>
    <t>1.Login as admin
2.Create vehicle with license plate "30H-12345"
3.Try to create another vehicle with same license plate</t>
  </si>
  <si>
    <t>1.API responds with error
2.Error message displayed</t>
  </si>
  <si>
    <t>1. Vehicle with license plate "30H-12345" exists</t>
  </si>
  <si>
    <t>VEH-004</t>
  </si>
  <si>
    <t>Test validation for required license plate field</t>
  </si>
  <si>
    <t>1.Login as admin
2.Navigate to Create Vehicle
3.Leave license plate empty
4.Fill other fields
5.Click "Create Vehicle"</t>
  </si>
  <si>
    <t>1. Validation message "License plate is required"</t>
  </si>
  <si>
    <t>VEH-005</t>
  </si>
  <si>
    <t>Test validation for capacity field</t>
  </si>
  <si>
    <t>1.Login as admin
2.Navigate to Create Vehicle
3. Enter capacity 0
4.Fill other valid fields
5.Click "Create Vehicle"</t>
  </si>
  <si>
    <t>1. Validation message "Capacity must be greater than 0"</t>
  </si>
  <si>
    <t>VEH-006</t>
  </si>
  <si>
    <t>Test creating vehicle with expired admin session</t>
  </si>
  <si>
    <t>1.Login as admin
2.Clear auth token manually
3. Try to create vehicle</t>
  </si>
  <si>
    <t>1.User redirected to login page
2.Message "Session expired"</t>
  </si>
  <si>
    <t>VEH-007</t>
  </si>
  <si>
    <t>Test creating vehicle when API is down</t>
  </si>
  <si>
    <t>1.Login as admin
2.Stop API server
3. Try to create vehicle</t>
  </si>
  <si>
    <t>1. Error toast "Service unavailable, try later"</t>
  </si>
  <si>
    <t>1. Backend offline</t>
  </si>
  <si>
    <t>VEH-008</t>
  </si>
  <si>
    <t>Test updating existing vehicle information</t>
  </si>
  <si>
    <t>1.Login as admin
2.Navigate to Vehicle Management
3.Click edit on existing vehicle
4.Change capacity to "24 seats"
5.Click "Update Vehicle"</t>
  </si>
  <si>
    <t>1.Success message appears
2.Vehicle updated successfully</t>
  </si>
  <si>
    <t>1. Active session
2.Existing vehicle</t>
  </si>
  <si>
    <t>VEH-009</t>
  </si>
  <si>
    <t>Test updating vehicle with invalid license plate format</t>
  </si>
  <si>
    <t>1.Login as admin
2.Edit existing vehicle
3.Change license plate to "INVALID123"
4.Click "Update Vehicle"</t>
  </si>
  <si>
    <t>1. Existing vehicle</t>
  </si>
  <si>
    <t>VEH-010</t>
  </si>
  <si>
    <t>Test updating vehicle that doesn't exist</t>
  </si>
  <si>
    <t>1.Login as admin
2.Navigate to update URL with invalid vehicle ID</t>
  </si>
  <si>
    <t>1.API returns 404
2.Error message "Vehicle not found"</t>
  </si>
  <si>
    <t>1. Invalid vehicle ID</t>
  </si>
  <si>
    <t>VEH-011</t>
  </si>
  <si>
    <t>Test updating vehicle with expired session</t>
  </si>
  <si>
    <t>1.Login as admin
2.Clear auth token
3.Try to update vehicle</t>
  </si>
  <si>
    <t>1. User redirected to login page</t>
  </si>
  <si>
    <t>Delete Vehicle</t>
  </si>
  <si>
    <t>VEH-012</t>
  </si>
  <si>
    <t>Test deleting an existing vehicle</t>
  </si>
  <si>
    <t>1.Login as admin
2.Navigate to Vehicle Management
3.Click delete on vehicle
4.Confirm deletion</t>
  </si>
  <si>
    <t>1.Confirmation modal appears
2.Vehicle deleted successfully
3.Removed from list</t>
  </si>
  <si>
    <t>VEH-013</t>
  </si>
  <si>
    <t>Test deleting vehicle that doesn't exist</t>
  </si>
  <si>
    <t>1.Login as admin
2.Try to delete with invalid vehicle ID</t>
  </si>
  <si>
    <t xml:space="preserve"> 1. Invalid vehicle ID</t>
  </si>
  <si>
    <t>VEH-014</t>
  </si>
  <si>
    <t>Test deleting vehicle with expired session</t>
  </si>
  <si>
    <t>1.Login as admin
2.Clear auth token
3.Try to delete vehicle</t>
  </si>
  <si>
    <t>VEH-015</t>
  </si>
  <si>
    <t>Test viewing vehicle list with pagination</t>
  </si>
  <si>
    <t>1.Login as admin
2.Navigate to Vehicle Management
3.Check pagination controls</t>
  </si>
  <si>
    <t>1.Vehicle list displays
2.Pagination works correctly</t>
  </si>
  <si>
    <t>1.Active session
2.Multiple vehicles exist</t>
  </si>
  <si>
    <t>VEH-016</t>
  </si>
  <si>
    <t>Test filtering vehicles by status</t>
  </si>
  <si>
    <t>1.Login as admin
2.Navigate to Vehicle Management
3.Select "Active" from status filter</t>
  </si>
  <si>
    <t>1. Only active vehicles displayed</t>
  </si>
  <si>
    <t>1. Vehicles with different statuses exist</t>
  </si>
  <si>
    <t>VEH-017</t>
  </si>
  <si>
    <t>Test searching vehicles by license plate</t>
  </si>
  <si>
    <t>1.Login as admin
2.Navigate to Vehicle Management
3.Enter license plate in search box</t>
  </si>
  <si>
    <t>1. Matching vehicles displayed</t>
  </si>
  <si>
    <t xml:space="preserve"> 1. Vehicles with known license plates exist</t>
  </si>
  <si>
    <t>VEH-018</t>
  </si>
  <si>
    <t>Test searching vehicles with no results</t>
  </si>
  <si>
    <t>1.Login as admin
2.Navigate to Vehicle Management
3.Enter "ZZZ-99999" in search box</t>
  </si>
  <si>
    <t>1. "No vehicles found" message displayed</t>
  </si>
  <si>
    <t>1. No vehicle with "ZZZ-99999" exists</t>
  </si>
  <si>
    <t>VEH-019</t>
  </si>
  <si>
    <t>Test combining status filter with search</t>
  </si>
  <si>
    <t>1.Login as admin
2.Navigate to Vehicle Management
3.Select "Maintenance" status and search "30H"</t>
  </si>
  <si>
    <t xml:space="preserve">1. Only maintenance vehicles with "30H" displayed </t>
  </si>
  <si>
    <t>1. Maintenance vehicles with "30H" exist</t>
  </si>
  <si>
    <t>VEH-020</t>
  </si>
  <si>
    <t>Test searching vehicles with spaces in search term</t>
  </si>
  <si>
    <t>1.Login as admin
2.Navigate to Vehicle Management
3.Enter " 30H-12345 " in search box</t>
  </si>
  <si>
    <t>1. Vehicle with "30H-12345" displayed (spaces ignored)</t>
  </si>
  <si>
    <t>1. Vehicle with "30H-12345" exists</t>
  </si>
  <si>
    <t>VEH-021</t>
  </si>
  <si>
    <t>Test searching vehicles with special characters only</t>
  </si>
  <si>
    <t>1.Login as admin
2.Navigate to Vehicle Management
3.Enter "@#$%" in search box</t>
  </si>
  <si>
    <t>1. No vehicles with special characters exist</t>
  </si>
  <si>
    <t>View vehicle detail</t>
  </si>
  <si>
    <t>VEH-022</t>
  </si>
  <si>
    <t>1.Login as admin
2.Navigate to Vehicle Management
3.Click on vehicle row</t>
  </si>
  <si>
    <t>1.Vehicle details displayed
2.All information shown correctly</t>
  </si>
  <si>
    <t>1.Active session
2.Existing vehicle</t>
  </si>
  <si>
    <t>VEH-023</t>
  </si>
  <si>
    <t>Test assigning a driver to vehicle</t>
  </si>
  <si>
    <t>1.Login as admin
2.Navigate to Vehicle Management
3.Click assign driver button
4.Select available driver
5.Click "Assign Driver"</t>
  </si>
  <si>
    <t>1.Driver assignment modal opens
2.Available drivers listed
3.Assignment successful</t>
  </si>
  <si>
    <t>1.Available drivers exist</t>
  </si>
  <si>
    <t>VEH-024</t>
  </si>
  <si>
    <t>Test assigning driver with scheduling conflicts</t>
  </si>
  <si>
    <t>1.Login as admin
2.Try to assign driver already assigned to another vehicle</t>
  </si>
  <si>
    <t>1.Conflict detection
2.Error message about conflicts</t>
  </si>
  <si>
    <t>1. Driver already assigned to another vehicle</t>
  </si>
  <si>
    <t>Partial Update Vehicle</t>
  </si>
  <si>
    <t>VEH-025</t>
  </si>
  <si>
    <t>Test partial update of vehicle license plate only</t>
  </si>
  <si>
    <t>1.Login as admin
2.Navigate to Vehicle Management
3.Click edit on existing vehicle
4.Change only license plate to "43A-54321"
5.Click "Update Vehicle"</t>
  </si>
  <si>
    <t>1.Success message appears
2.Only license plate updated
3.Other fields remain unchanged</t>
  </si>
  <si>
    <t>VEH-026</t>
  </si>
  <si>
    <t>Test partial update of vehicle capacity only</t>
  </si>
  <si>
    <t>1.Login as admin
2.Navigate to Vehicle Management
3.Click edit on existing vehicle
4.Change only capacity to "32 seats"
5.Click "Update Vehicle"</t>
  </si>
  <si>
    <t>1.Success message appears
2.Only capacity updated
3.Other fields remain unchanged</t>
  </si>
  <si>
    <t>VEH-027</t>
  </si>
  <si>
    <t>Test partial update of vehicle status only</t>
  </si>
  <si>
    <t>1.Login as admin
2.Navigate to Vehicle Management
3.Click edit on existing vehicle
4.Change only status to "Maintenance"
5.Click "Update Vehicle"</t>
  </si>
  <si>
    <t>1.Success message appears
2.Only status updated
3.Other fields remain unchanged</t>
  </si>
  <si>
    <t>Verifies the complete route management flow—including creating, editing, sequencing, and deactivating bus routes—covering input validation, geolocation logic, stop ordering, dependency checks, and role-based permissions.</t>
  </si>
  <si>
    <t>CREATE_ROUTE</t>
  </si>
  <si>
    <t>RT-002</t>
  </si>
  <si>
    <t>Test validation for empty route name</t>
  </si>
  <si>
    <t>1. Login as admin
2. Navigate to Route Management
3. Click "Create Route"
4. Leave route name empty
5. Select vehicle
6. Add pickup points
7. Click "Create Route"</t>
  </si>
  <si>
    <t>1. Validation message "Route name is required"
2. Route not created
3. Form stays on create page</t>
  </si>
  <si>
    <t>RT-003</t>
  </si>
  <si>
    <t>Test validation for route name exceeding 200 characters</t>
  </si>
  <si>
    <t>1. Login as admin
2. Navigate to Route Management
3. Click "Create Route"
4. Fill route name with 201 characters
5. Select vehicle
6. Add pickup points
7. Click "Create Route"</t>
  </si>
  <si>
    <t>1. Validation message "Route name cannot exceed 200 characters"
2. Route not created</t>
  </si>
  <si>
    <t>RT-004</t>
  </si>
  <si>
    <t>Test creating route without selecting vehicle</t>
  </si>
  <si>
    <t>1. Login as admin
2. Navigate to Route Management
3. Click "Create Route"
4. Fill route name
5. Do not select vehicle
6. Add pickup points
7. Click "Create Route"</t>
  </si>
  <si>
    <t>1. Validation message "Vehicle ID is required"
2. Route not created</t>
  </si>
  <si>
    <t>RT-005</t>
  </si>
  <si>
    <t>Test creating route with vehicle already assigned to another active route</t>
  </si>
  <si>
    <t>1. Login as admin
2. Navigate to Route Management
3. Click "Create Route"
4. Fill route name "Route B"
5. Select vehicle "30H-12345" (already in use)
6. Add pickup points
7. Click "Create Route"</t>
  </si>
  <si>
    <t>1. Error message "Vehicle with license plate '30H-12345' is already used in other active routes"
2. Route not created</t>
  </si>
  <si>
    <t>1. Vehicle "30H-12345" already assigned to active Route A</t>
  </si>
  <si>
    <t>RT-006</t>
  </si>
  <si>
    <t>Test creating route with inactive vehicle</t>
  </si>
  <si>
    <t>1. Login as admin
2. Navigate to Route Management
3. Click "Create Route"
4. Fill route name
5. Select inactive vehicle "30H-99999"
6. Add pickup points
7. Click "Create Route"</t>
  </si>
  <si>
    <t>1. Error message "Vehicle with ID {id} does not exist or is not active"
2. Route not created</t>
  </si>
  <si>
    <t>1. Vehicle "30H-99999" exists but inactive</t>
  </si>
  <si>
    <t>RT-007</t>
  </si>
  <si>
    <t>Test creating route with pickup points not assigned to active students</t>
  </si>
  <si>
    <t>1. Login as admin
2. Navigate to Route Management
3. Click "Create Route"
4. Fill route name
5. Select vehicle
6. Add pickup point without active students
7. Click "Create Route"</t>
  </si>
  <si>
    <t>1. Error message "The following pickup points are not assigned to active students: {pickupPointId}"
2. Route not created</t>
  </si>
  <si>
    <t>1. Pickup point exists but has no active students</t>
  </si>
  <si>
    <t>RT-008</t>
  </si>
  <si>
    <t>Test creating route with pickup point already used in another active route</t>
  </si>
  <si>
    <t>1. Login as admin
2. Navigate to Route Management
3. Click "Create Route"
4. Fill route name "Route C"
5. Select vehicle
6. Add pickup point already in Route A
7. Click "Create Route"</t>
  </si>
  <si>
    <t>1. Error message "The following pickup points are already used in other active routes: Route '{route_name}' already uses pickup point {id}"
2. Route not created</t>
  </si>
  <si>
    <t>1. Pickup point already assigned to active Route A</t>
  </si>
  <si>
    <t>RT-009</t>
  </si>
  <si>
    <t>Test creating route with duplicate sequence orders</t>
  </si>
  <si>
    <t>1. Login as admin
2. Navigate to Route Management
3. Click "Create Route"
4. Fill route name
5. Select vehicle
6. Add 3 pickup points with sequence orders: 1, 1, 2
7. Click "Create Route"</t>
  </si>
  <si>
    <t>1. Error message "Duplicate sequence orders found: 1"
2. Route not created</t>
  </si>
  <si>
    <t>1. At least 3 valid pickup points available</t>
  </si>
  <si>
    <t>RT-010</t>
  </si>
  <si>
    <t>Test creating route with zero or negative sequence order</t>
  </si>
  <si>
    <t>1. Login as admin
2. Navigate to Route Management
3. Click "Create Route"
4. Fill route name
5. Select vehicle
6. Add pickup point with sequence order 0
7. Click "Create Route"</t>
  </si>
  <si>
    <t>1. Validation message "Sequence order must be a positive number"
2. Route not created</t>
  </si>
  <si>
    <t>RT-011</t>
  </si>
  <si>
    <t>Test creating route with schedule (valid dates)</t>
  </si>
  <si>
    <t>1. Login as admin
2. Navigate to Route Management
3. Click "Create Route"
4. Fill route name, vehicle, pickup points
5. Add schedule with EffectiveFrom = tomorrow, EffectiveTo = next week
6. Click "Create Route"</t>
  </si>
  <si>
    <t>1. Success message appears
2. Route and RouteSchedule created
3. Schedule properly linked to route</t>
  </si>
  <si>
    <t>1. Valid schedule exists in system</t>
  </si>
  <si>
    <t>RT-012</t>
  </si>
  <si>
    <t>Test creating route with past EffectiveFrom date</t>
  </si>
  <si>
    <t>1. Login as admin
2. Navigate to Route Management
3. Click "Create Route"
4. Fill route name, vehicle, pickup points
5. Set EffectiveFrom = yesterday
6. Click "Create Route"</t>
  </si>
  <si>
    <t>1. Error message "EffectiveFrom date cannot be in the past"
2. Route not created</t>
  </si>
  <si>
    <t>RT-013</t>
  </si>
  <si>
    <t>Test creating route with EffectiveTo before EffectiveFrom</t>
  </si>
  <si>
    <t>1. Login as admin
2. Navigate to Route Management
3. Click "Create Route"
4. Fill route name, vehicle, pickup points
5. Set EffectiveFrom = tomorrow, EffectiveTo = today
6. Click "Create Route"</t>
  </si>
  <si>
    <t>1. Error message "EffectiveTo date cannot be before EffectiveFrom date"
2. Route not created</t>
  </si>
  <si>
    <t>RT-014</t>
  </si>
  <si>
    <t>Test creating multiple routes in one request (valid data)</t>
  </si>
  <si>
    <t>1. Login as admin
2. Navigate to Route Management
3. Click "Bulk Create Routes"
4. Add 5 routes with unique names, vehicles, pickup points
5. Click "Create All"</t>
  </si>
  <si>
    <t>1. Success message "5 routes created successfully"
2. All 5 routes appear in list
3. Response shows SuccessfulRoutes=5, FailedRoutes=0</t>
  </si>
  <si>
    <t>1. At least 5 active vehicles available
2. At least 15 pickup points available</t>
  </si>
  <si>
    <t>RT-015</t>
  </si>
  <si>
    <t>Test bulk create with duplicate route names within request</t>
  </si>
  <si>
    <t>1. Login as admin
2. Navigate to Route Management
3. Click "Bulk Create Routes"
4. Add 3 routes where 2 have same name "Route X"
5. Click "Create All"</t>
  </si>
  <si>
    <t>1. Error message "Duplicate route name 'Route X' found in the request"
2. No routes created
3. Response shows Success=false</t>
  </si>
  <si>
    <t>RT-016</t>
  </si>
  <si>
    <t>Test bulk create with duplicate vehicle assignments within request</t>
  </si>
  <si>
    <t>1. Login as admin
2. Navigate to Route Management
3. Click "Bulk Create Routes"
4. Add 3 routes where 2 use same vehicle "30H-12345"
5. Click "Create All"</t>
  </si>
  <si>
    <t>1. Error message "Vehicle ID is assigned to multiple routes in the request"
2. No routes created
3. Response shows Success=false</t>
  </si>
  <si>
    <t>RT-017</t>
  </si>
  <si>
    <t>Test bulk create with duplicate pickup point assignments within request</t>
  </si>
  <si>
    <t>1. Login as admin
2. Navigate to Route Management
3. Click "Bulk Create Routes"
4. Add 3 routes where 2 use same pickup point
5. Click "Create All"</t>
  </si>
  <si>
    <t>1. Error message "Pickup point ID is assigned to multiple routes in the request"
2. No routes created
3. Response shows Success=false</t>
  </si>
  <si>
    <t>RT-018</t>
  </si>
  <si>
    <t>Test bulk create exceeding maximum limit (51 routes)</t>
  </si>
  <si>
    <t>1. Login as admin
2. Navigate to Route Management
3. Prepare request with 51 routes
4. Send bulk create request</t>
  </si>
  <si>
    <t>1. Validation error "Cannot create more than 50 routes at once"
2. No routes created</t>
  </si>
  <si>
    <t>RT-019</t>
  </si>
  <si>
    <t>Test bulk create with partial failures</t>
  </si>
  <si>
    <t>1. Login as admin
2. Navigate to Route Management
3. Add 5 routes where route #3 has invalid vehicle
4. Click "Create All"</t>
  </si>
  <si>
    <t>1. Response shows SuccessfulRoutes=4, FailedRoutes=1
2. 4 routes created successfully
3. Error details for route #3 provided
4. HTTP status 207 (Multi-Status)</t>
  </si>
  <si>
    <t>1. At least 4 valid vehicles available</t>
  </si>
  <si>
    <t>RT-020</t>
  </si>
  <si>
    <t>Test bulk create with shared schedule</t>
  </si>
  <si>
    <t>1. Login as admin
2. Navigate to Route Management
3. Add 3 routes
4. Set shared schedule for all routes
5. Click "Create All"</t>
  </si>
  <si>
    <t>1. Success message "3 routes created successfully"
2. All routes have same schedule assigned
3. 3 RouteSchedule records created</t>
  </si>
  <si>
    <t>1. Valid schedule exists</t>
  </si>
  <si>
    <t>VIEW_ALL_ROUTES</t>
  </si>
  <si>
    <t>RT-021</t>
  </si>
  <si>
    <t>Test viewing all routes as admin</t>
  </si>
  <si>
    <t>1. Login as admin
2. Navigate to Route Management
3. View routes list</t>
  </si>
  <si>
    <t>1. All routes displayed (including active and inactive)
2. Each route shows: name, vehicle, pickup points, status
3. Pickup points sorted by sequence order
4. Student count displayed for each pickup point</t>
  </si>
  <si>
    <t>1. At least 3 routes exist in system</t>
  </si>
  <si>
    <t>RT-022</t>
  </si>
  <si>
    <t>Test route list shows vehicle information</t>
  </si>
  <si>
    <t>1. Each route displays vehicle number plate
2. Vehicle capacity shown
3. Vehicle info correctly populated</t>
  </si>
  <si>
    <t>1. Routes with assigned vehicles exist</t>
  </si>
  <si>
    <t>RT-023</t>
  </si>
  <si>
    <t>RT-024</t>
  </si>
  <si>
    <t>Test route list shows student count per pickup point</t>
  </si>
  <si>
    <t>1. Login as admin
2. Navigate to Route Management
3. View routes list
4. Expand pickup points for a route</t>
  </si>
  <si>
    <t>1. Each pickup point shows number of active students
2. Student count is accurate
3. Only active students counted</t>
  </si>
  <si>
    <t>1. Routes with pickup points having students</t>
  </si>
  <si>
    <t>RT-025</t>
  </si>
  <si>
    <t>Test empty route list</t>
  </si>
  <si>
    <t>1. Login as admin
2. Navigate to Route Management
3. View routes list (when no routes exist)</t>
  </si>
  <si>
    <t>1. Message "No routes found" displayed
2. Option to create new route shown</t>
  </si>
  <si>
    <t>1. No routes in system</t>
  </si>
  <si>
    <t>RT-026</t>
  </si>
  <si>
    <t>Test deleted routes are not shown</t>
  </si>
  <si>
    <t>1. Deleted routes (IsDeleted=true) not displayed
2. Only non-deleted routes shown</t>
  </si>
  <si>
    <t xml:space="preserve">1. Some routes are soft-deleted        </t>
  </si>
  <si>
    <t>RT-027</t>
  </si>
  <si>
    <t>Test route list sorting by sequence order</t>
  </si>
  <si>
    <t>1. Login as admin
2. Navigate to Route Management
3. View a route's pickup points</t>
  </si>
  <si>
    <t>1. Pickup points displayed in sequence order
2. Order: 1, 2, 3, ... (ascending)</t>
  </si>
  <si>
    <t>1. Route with multiple pickup points</t>
  </si>
  <si>
    <t>VIEW ROUTE DETAIL</t>
  </si>
  <si>
    <t>RT-028</t>
  </si>
  <si>
    <t>Test viewing route detail with valid route ID</t>
  </si>
  <si>
    <t>1. Login as admin
2. Navigate to Route Management
3. Click on route "Route A - District 1"
4. View route details</t>
  </si>
  <si>
    <t>1. Route details displayed: name, vehicle, pickup points, timestamps
2. Vehicle info shown: capacity, number plate
3. Pickup points with locations and student counts
4. IsActive status displayed</t>
  </si>
  <si>
    <t>1. Route "Route A - District 1" exists</t>
  </si>
  <si>
    <t>RT-029</t>
  </si>
  <si>
    <t>Test viewing non-existent route</t>
  </si>
  <si>
    <t>1. Login as admin
2. Navigate to URL /api/routes/{invalid-guid}
3. Try to view route</t>
  </si>
  <si>
    <t>1. HTTP 404 Not Found
2. Error message "Route not found"</t>
  </si>
  <si>
    <t>RT-030</t>
  </si>
  <si>
    <t>Test viewing deleted route</t>
  </si>
  <si>
    <t>1. Login as admin
2. Try to view route with IsDeleted=true
3. Access route by ID</t>
  </si>
  <si>
    <t>1. HTTP 404 Not Found
2. Error message "Route not found"
3. Deleted route treated as not found</t>
  </si>
  <si>
    <t>1. Route exists with IsDeleted=true</t>
  </si>
  <si>
    <t>RT-031</t>
  </si>
  <si>
    <t>Test viewing route with empty GUID</t>
  </si>
  <si>
    <t>1. Login as admin
2. Navigate to /api/routes/00000000-0000-0000-0000-000000000000</t>
  </si>
  <si>
    <t>1. HTTP 400 Bad Request
2. Error message "Invalid route ID"</t>
  </si>
  <si>
    <t>RT-032</t>
  </si>
  <si>
    <t>Test route detail shows complete location information</t>
  </si>
  <si>
    <t>1. Login as admin
2. Navigate to Route Management
3. View route detail
4. Check pickup point locations</t>
  </si>
  <si>
    <t>1. Each pickup point shows latitude, longitude, address
2. Location data is accurate
3. Map can be rendered with coordinates</t>
  </si>
  <si>
    <t>1. Route with pickup points exists</t>
  </si>
  <si>
    <t>RT-033</t>
  </si>
  <si>
    <t>Test route detail shows timestamps</t>
  </si>
  <si>
    <t>1. Login as admin
2. Navigate to Route Management
3. View route detail</t>
  </si>
  <si>
    <t>1. CreatedAt timestamp displayed
2. UpdatedAt timestamp displayed (if route was updated)
3. Timestamps in correct format</t>
  </si>
  <si>
    <t>1. Route exists</t>
  </si>
  <si>
    <t>UPDATE_ROUTE</t>
  </si>
  <si>
    <t>RT-034</t>
  </si>
  <si>
    <t>Test updating route name with valid data</t>
  </si>
  <si>
    <t>1. Login as admin
2. Navigate to Route Management
3. Click "Edit" on route "Route A"
4. Change name to "Route A - Updated"
5. Click "Update Route"</t>
  </si>
  <si>
    <t>1. Success message "Route updated successfully"
2. Route name changed to "Route A - Updated"
3. UpdatedAt timestamp updated</t>
  </si>
  <si>
    <t>1. Route "Route A" exists</t>
  </si>
  <si>
    <t>RT-035</t>
  </si>
  <si>
    <t>Test updating route name to duplicate name</t>
  </si>
  <si>
    <t>1. Login as admin
2. Navigate to Route Management
3. Edit route "Route A"
4. Change name to "Route B" (already exists)
5. Click "Update Route"</t>
  </si>
  <si>
    <t>1. Error message "Route name already exists"
2. Route not updated
3. Name remains unchanged</t>
  </si>
  <si>
    <t>1. Routes "Route A" and "Route B" both exist</t>
  </si>
  <si>
    <t>RT-036</t>
  </si>
  <si>
    <t>Test updating route vehicle to new valid vehicle</t>
  </si>
  <si>
    <t>1. Login as admin
2. Navigate to Route Management
3. Edit route "Route A"
4. Change vehicle from "30H-12345" to "30H-67890"
5. Click "Update Route"</t>
  </si>
  <si>
    <t>1. Success message appears
2. Route now assigned to vehicle "30H-67890"
3. Old vehicle "30H-12345" is released</t>
  </si>
  <si>
    <t>1. Route A with vehicle "30H-12345"
2. Vehicle "30H-67890" is available</t>
  </si>
  <si>
    <t>RT-037</t>
  </si>
  <si>
    <t>Test updating route vehicle to one already in use</t>
  </si>
  <si>
    <t>1. Login as admin
2. Navigate to Route Management
3. Edit route "Route A"
4. Try to assign vehicle "30H-99999" (used by Route B)
5. Click "Update Route"</t>
  </si>
  <si>
    <t>1. Error message "Vehicle with license plate '30H-99999' is already used in other active routes"
2. Route not updated</t>
  </si>
  <si>
    <t>1. Route B using vehicle "30H-99999"</t>
  </si>
  <si>
    <t>RT-038</t>
  </si>
  <si>
    <t>Test updating route pickup points</t>
  </si>
  <si>
    <t>1. Login as admin
2. Navigate to Route Management
3. Edit route "Route A"
4. Remove pickup point #1, add new pickup point #4
5. Click "Update Route"</t>
  </si>
  <si>
    <t>1. Success message appears
2. Pickup points updated
3. New pickup point added with correct sequence order
4. Location info populated automatically</t>
  </si>
  <si>
    <t>1. Route A with 3 pickup points
2. Valid pickup point available to add</t>
  </si>
  <si>
    <t>RT-039</t>
  </si>
  <si>
    <t>Test updating pickup points with duplicate sequence orders</t>
  </si>
  <si>
    <t>1. Login as admin
2. Navigate to Route Management
3. Edit route "Route A"
4. Set two pickup points to same sequence order 2
5. Click "Update</t>
  </si>
  <si>
    <t>1. Error message "Duplicate sequence orders found: 2"
2. Route not updated</t>
  </si>
  <si>
    <t>1. Route A exists</t>
  </si>
  <si>
    <t>RT-040</t>
  </si>
  <si>
    <t>Test updating route with invalid route ID</t>
  </si>
  <si>
    <t>1. Login as admin
2. Send PUT request to /api/routes/{invalid-guid}
3. Provide update</t>
  </si>
  <si>
    <t>RT-041</t>
  </si>
  <si>
    <t>Test updating non-existent route</t>
  </si>
  <si>
    <t>1. Login as admin
2. Send PUT request to /api/routes/{valid-but-nonexistent-guid}
3. Provide update data</t>
  </si>
  <si>
    <t>RT-042</t>
  </si>
  <si>
    <t>Test updating deleted route</t>
  </si>
  <si>
    <t>1. Login as admin
2. Try to update route with IsDeleted=true
3. Send update request</t>
  </si>
  <si>
    <t>1. HTTP 404 Not Found
2. Error message "Route not found"
3. Route not updated</t>
  </si>
  <si>
    <t>1. Deleted route exists</t>
  </si>
  <si>
    <t>DELETE ROUTE</t>
  </si>
  <si>
    <t>RT-051</t>
  </si>
  <si>
    <t>Test soft deleting a route</t>
  </si>
  <si>
    <t>1. Login as admin
2. Navigate to Route Management
3. Click "Delete" on route "Route A"
4. Confirm deletion</t>
  </si>
  <si>
    <t>1. Success message "Route deleted successfully"
2. Route marked as IsDeleted=true
3. Route marked as IsActive=false
4. HTTP 204 No Content returned</t>
  </si>
  <si>
    <t>1. Route "Route A" exists and is active</t>
  </si>
  <si>
    <t>RT-052</t>
  </si>
  <si>
    <t>Test deleted route disappears from list</t>
  </si>
  <si>
    <t>1. Login as admin
2. Delete a route
3. View route list</t>
  </si>
  <si>
    <t>1. Deleted route not shown in list
2. Route count decreased by 1</t>
  </si>
  <si>
    <t>RT-053</t>
  </si>
  <si>
    <t>Test deleting route deactivates associated RouteSchedules</t>
  </si>
  <si>
    <t>1. Login as admin
2. Delete route that has RouteSchedules
3. Check RouteSchedules</t>
  </si>
  <si>
    <t>1. All RouteSchedules for this route deactivated
2. RouteSchedules IsActive=false</t>
  </si>
  <si>
    <t>1. Route with active RouteSchedules</t>
  </si>
  <si>
    <t>RT-054</t>
  </si>
  <si>
    <t>Test deleting route cascades to deactivate Trips</t>
  </si>
  <si>
    <t>1. Login as admin
2. Delete route that has Trips
3. Check Trips</t>
  </si>
  <si>
    <t>1. All Trips for this route deactivated
2. Trips IsActive=false
3. Cascade deactivation successful</t>
  </si>
  <si>
    <t>1. Route with active Trips</t>
  </si>
  <si>
    <t>RT-055</t>
  </si>
  <si>
    <t>Test deleting non-existent route</t>
  </si>
  <si>
    <t>1. Login as admin
2. Try to delete route with non-existent ID
3. Send DELETE request</t>
  </si>
  <si>
    <t>ACTIVATE/DEACTIVATE ROUTE</t>
  </si>
  <si>
    <t>RT-060</t>
  </si>
  <si>
    <t>Test activating an inactive route</t>
  </si>
  <si>
    <t>1. Login as admin
2. Navigate to Route Management
3. Click "Activate" on inactive route
4. Confirm activation</t>
  </si>
  <si>
    <t>1. Success message "Route activated successfully"
2. Route IsActive=true
3. Route appears in active routes list</t>
  </si>
  <si>
    <t>1. Inactive route exists (IsActive=false, IsDeleted=false)</t>
  </si>
  <si>
    <t>RT-061</t>
  </si>
  <si>
    <t>Test activating already active route</t>
  </si>
  <si>
    <t>1. Login as admin
2. Try to activate route that is already active</t>
  </si>
  <si>
    <t>1. Success message (idempotent operation)
2. Route remains IsActive=true</t>
  </si>
  <si>
    <t>1. Active route exists</t>
  </si>
  <si>
    <t>RT-062</t>
  </si>
  <si>
    <t>Test activating deleted route</t>
  </si>
  <si>
    <t>1. Login as admin
2. Try to activate route with IsDeleted=true</t>
  </si>
  <si>
    <t>ASSIGN DRIVER/SUPERVISOR TO ROUTE</t>
  </si>
  <si>
    <t>RT-078</t>
  </si>
  <si>
    <t>Test assigning schedule to route (which includes driver/supervisor)</t>
  </si>
  <si>
    <t>1. Login as admin
2. Navigate to Route Management
3. Select route "Route A"
4. Click "Assign Schedule"
5. Select schedule "Morning Shift" (has driver and supervisor)
6. Set EffectiveFrom = tomorrow
7. Click "Assign"</t>
  </si>
  <si>
    <t>1. Success message "Schedule assigned successfully"
2. RouteSchedule created
3. Route linked to schedule
4. Driver and supervisor info accessible via schedule</t>
  </si>
  <si>
    <t>1. Route "Route A" exists
2. Schedule "Morning Shift" with assigned driver/supervisor</t>
  </si>
  <si>
    <t>RT-079</t>
  </si>
  <si>
    <t>Test assigning schedule when creating route</t>
  </si>
  <si>
    <t>1. Login as admin
2. Create new route
3. In creation form, add RouteSchedule section
4. Select schedule, set dates
5. Create route</t>
  </si>
  <si>
    <t>1. Route created successfully
2. RouteSchedule created automatically
3. Both entities linked</t>
  </si>
  <si>
    <t>RT-080</t>
  </si>
  <si>
    <t>Test viewing route schedules for a route</t>
  </si>
  <si>
    <t>1. Login as admin
2. Navigate to Route Management
3. View route "Route A"
4. Click "View Schedules"</t>
  </si>
  <si>
    <t>1. All RouteSchedules for route displayed
2. Schedule details shown: EffectiveFrom, EffectiveTo, Priority
3. Associated driver/supervisor info visible</t>
  </si>
  <si>
    <t>1. Route A with assigned schedules</t>
  </si>
  <si>
    <t>RT-081</t>
  </si>
  <si>
    <t>Test creating RouteSchedule with invalid schedule ID</t>
  </si>
  <si>
    <t>1. Login as admin
2. Navigate to RouteSchedule Management
3. Try to create RouteSchedule
4. Use non-existent ScheduleId
5. Submit</t>
  </si>
  <si>
    <t>1. Error message "Schedule with ID {id} does not exist or is not active"
2. RouteSchedule not created</t>
  </si>
  <si>
    <t>RT-082</t>
  </si>
  <si>
    <t>Test creating RouteSchedule with inactive schedule</t>
  </si>
  <si>
    <t>1. Login as admin
2. Try to assign inactive schedule to route
3. Submit</t>
  </si>
  <si>
    <t>1. Error message "Schedule does not exist or is not active"
2. Assignment rejected</t>
  </si>
  <si>
    <t>1. Inactive schedule exists</t>
  </si>
  <si>
    <t>Verifies the complete trip management flow—including creating, starting, monitoring, and completing trips—covering real-time tracking, attendance integration, route/time validation, conflict detection, and proper role-based access.</t>
  </si>
  <si>
    <t>CREATE_TRIP</t>
  </si>
  <si>
    <t>TR-001</t>
  </si>
  <si>
    <t>Test creating a new trip with all valid information</t>
  </si>
  <si>
    <t>1. Login as admin
2. Navigate to Trip Management
3. Click "Create Trip"
4. Fill route ID, service date (tomorrow)
5. Set planned start time "07:00", planned end time "08:30"
6. Click "Create Trip"</t>
  </si>
  <si>
    <t>1. Success message appears
2. Trip created successfully
3. Redirected to trip list
4. New trip appears with status "Scheduled"
5. Stops automatically populated from route</t>
  </si>
  <si>
    <t>1. Admin session active
2. At least 1 active route exists
3. Service date is in the future</t>
  </si>
  <si>
    <t>TR-002</t>
  </si>
  <si>
    <t>Test validation for invalid route ID</t>
  </si>
  <si>
    <t>1. Login as admin
2. Navigate to Trip Management
3. Click "Create Trip"
4. Use non-existent route ID
5. Fill other valid fields
6. Click "Create Trip"</t>
  </si>
  <si>
    <t>1. Error message "Route not found"
2. Trip not created</t>
  </si>
  <si>
    <t>TR-003</t>
  </si>
  <si>
    <t>Test creating trip with past service date</t>
  </si>
  <si>
    <t>1. Login as admin
2. Navigate to Trip Management
3. Click "Create Trip"
4. Set service date = yesterday
5. Fill other fields
6. Click "Create Trip"</t>
  </si>
  <si>
    <t>1. Validation error or warning about past date
2. Trip creation may be blocked or flagged</t>
  </si>
  <si>
    <t>TR-004</t>
  </si>
  <si>
    <t>Test creating duplicate trip (same route, same date)</t>
  </si>
  <si>
    <t>1. Login as admin
2. Create trip for Route A, date = tomorrow
3. Try to create another trip with same route, same date
4. Submit</t>
  </si>
  <si>
    <t>1. Warning or error about duplicate trip
2. System may allow or block based on business rules</t>
  </si>
  <si>
    <t>1. Trip already exists for Route A tomorrow</t>
  </si>
  <si>
    <t>TR-005</t>
  </si>
  <si>
    <t>Test validating planned start/end times</t>
  </si>
  <si>
    <t>1. Login as admin
2. Create trip
3. Set planned end time before planned start time
4. Submit</t>
  </si>
  <si>
    <t>1. Validation error "End time must be after start time"
2. Trip not created</t>
  </si>
  <si>
    <t xml:space="preserve"> VIEW ALL TRIPS</t>
  </si>
  <si>
    <t>TR-006</t>
  </si>
  <si>
    <t>Test viewing all trips with pagination</t>
  </si>
  <si>
    <t>1. Login as admin
2. Navigate to Trip Management
3. View trips list
4. Set page=1, perPage=20</t>
  </si>
  <si>
    <t>1. List of trips displayed (max 20)
2. Pagination info shown: page, perPage, totalPages, hasNextPage
3. Each trip shows: route name, service date, status, vehicle plate</t>
  </si>
  <si>
    <t>1. At least 25 trips exist</t>
  </si>
  <si>
    <t>TR-007</t>
  </si>
  <si>
    <t>Test filtering trips by route</t>
  </si>
  <si>
    <t>1. Login as admin
2. Navigate to Trip Management
3. Apply filter: routeId = {specific route}
4. View results</t>
  </si>
  <si>
    <t>1. Only trips for specified route displayed
2. Filter applied correctly</t>
  </si>
  <si>
    <t>1. Trips for multiple routes exist</t>
  </si>
  <si>
    <t>TR-008</t>
  </si>
  <si>
    <t>Test filtering trips by service date</t>
  </si>
  <si>
    <t>1. Login as admin
2. Navigate to Trip Management
3. Apply filter: serviceDate = "2025-12-05"
4. View results</t>
  </si>
  <si>
    <t>1. Only trips for December 5, 2025 displayed
2. Date filter working correctly</t>
  </si>
  <si>
    <t>1. Trips for multiple dates exist</t>
  </si>
  <si>
    <t>TR-009</t>
  </si>
  <si>
    <t>Test filtering trips by status</t>
  </si>
  <si>
    <t>1. Login as admin
2. Navigate to Trip Management
3. Apply filter: status = "InProgress"
4. View results</t>
  </si>
  <si>
    <t>1. Only trips with "InProgress" status shown
2. Status filter</t>
  </si>
  <si>
    <t>1. Trips with various statuses exist</t>
  </si>
  <si>
    <t>TR-010</t>
  </si>
  <si>
    <t>Test filtering trips by date range</t>
  </si>
  <si>
    <t>1. Login as admin
2. Navigate to Trip Management
3. Set startDate = "2025-12-01", endDate = "2025-12-10"
4. View results</t>
  </si>
  <si>
    <t>1. Trips within date range displayed
2. Trips outside range excluded</t>
  </si>
  <si>
    <t>1. Trips across multiple months exist</t>
  </si>
  <si>
    <t>TR-011</t>
  </si>
  <si>
    <t>Test viewing upcoming trips (next 7 days)</t>
  </si>
  <si>
    <t>1. Login as admin
2. Navigate to Trip Management
3. Set sortBy="serviceDate", sortOrder="desc"
4. View results</t>
  </si>
  <si>
    <t>1. Trips sorted newest to oldest
2. Most recent trips appear first</t>
  </si>
  <si>
    <t>1. Multiple trips exist</t>
  </si>
  <si>
    <t>TR-012</t>
  </si>
  <si>
    <t>1. Login as admin
2. Call GET /api/trip with upcomingDays=7
3. View results</t>
  </si>
  <si>
    <t>1. Only trips in next 7 days returned
2. No pagination applied (all results)
3. Past trips excluded</t>
  </si>
  <si>
    <t>1. Mix of past and future trips</t>
  </si>
  <si>
    <t>VIEW TRIP DETAIL</t>
  </si>
  <si>
    <t>TR-014</t>
  </si>
  <si>
    <t>Test viewing trip detail with valid trip ID (Admin)</t>
  </si>
  <si>
    <t>1. Login as admin
2. Navigate to Trip Management
3. Click on specific trip
4. View trip details</t>
  </si>
  <si>
    <t>1. Complete trip information displayed
2. Route name, service date, planned/actual times
3. All stops with attendance
4. Vehicle, driver, supervisor info
5. Current location if trip in progress</t>
  </si>
  <si>
    <t>TR-015</t>
  </si>
  <si>
    <t>Test viewing non-existent trip</t>
  </si>
  <si>
    <t>1. Login as admin
2. Navigate to /api/trip/{invalid-guid}
3. Try to view</t>
  </si>
  <si>
    <t>1. HTTP 404 Not Found
2. Error message "Trip not found"</t>
  </si>
  <si>
    <t>TR-016</t>
  </si>
  <si>
    <t>Test viewing deleted trip</t>
  </si>
  <si>
    <t>1. Login as admin
2. Try to view trip with IsDeleted=true
3. Access by ID</t>
  </si>
  <si>
    <t xml:space="preserve">1. Deleted trip exists	</t>
  </si>
  <si>
    <t>TR-017</t>
  </si>
  <si>
    <t>Test trip detail shows all stops with proper sequence</t>
  </si>
  <si>
    <t>1. Login as admin
2. View trip detail
3. Check stops section</t>
  </si>
  <si>
    <t>1. All stops displayed
2. Stops sorted by sequence order
3. Each stop shows: planned time, actual arrival/departure, location, attendance</t>
  </si>
  <si>
    <t>1. Trip with multiple stops</t>
  </si>
  <si>
    <t>UPDATE TRIP</t>
  </si>
  <si>
    <t>TR-018</t>
  </si>
  <si>
    <t>Test updating trip planned times</t>
  </si>
  <si>
    <t>1. Login as admin
2. Navigate to Trip Management
3. Edit trip
4. Change planned start from "07:00" to "07:30"
5. Change planned end from "08:30" to "09:00"
6. Save changes</t>
  </si>
  <si>
    <t>1. Success message
2. Trip updated successfully
3. New times reflected
4. HTTP 204 No Content</t>
  </si>
  <si>
    <t>1. Trip exists with Scheduled status</t>
  </si>
  <si>
    <t>TR-019</t>
  </si>
  <si>
    <t>Test updating trip status</t>
  </si>
  <si>
    <t>1. Login as admin
2. Call PUT /api/trip/{id}/status
3. Change status from "Scheduled" to "InProgress"
4. Provide reason "Started early"</t>
  </si>
  <si>
    <t>1. Success message
2. Trip status updated
3. Reason stored
4. Timestamp recorded</t>
  </si>
  <si>
    <t>1. Trip in Scheduled status</t>
  </si>
  <si>
    <t>TR-020</t>
  </si>
  <si>
    <t>Test updating trip with ID mismatch</t>
  </si>
  <si>
    <t>1. Login as admin
2. Send PUT /api/trip/{id1}
3. Body contains different ID {id2}
4. Submit</t>
  </si>
  <si>
    <t>1. HTTP 400 Bad Request
2. Error message "ID mismatch"</t>
  </si>
  <si>
    <t>TR-021</t>
  </si>
  <si>
    <t>Test updating non-existent trip</t>
  </si>
  <si>
    <t>1. Login as admin
2. Send PUT request to non-existent trip ID
3. Provide update data</t>
  </si>
  <si>
    <t xml:space="preserve">1. HTTP 404 Not Found
2. Error message "Trip not found"	</t>
  </si>
  <si>
    <t>TR-022</t>
  </si>
  <si>
    <t>Test updating attendance for a stop</t>
  </si>
  <si>
    <t>1. Login as admin
2. Call PUT /api/trip/{id}/attendance
3. Update student attendance: studentId, stopId, state="CheckedIn"
4. Submit</t>
  </si>
  <si>
    <t>1. Success message
2. Attendance updated
3. BoardedAt timestamp set</t>
  </si>
  <si>
    <t>1. Trip with stops and students</t>
  </si>
  <si>
    <t>DELETE TRIP</t>
  </si>
  <si>
    <t>TR-023</t>
  </si>
  <si>
    <t>Test soft deleting a trip (Admin)</t>
  </si>
  <si>
    <t>1. Login as admin
2. Navigate to Trip Management
3. Click "Delete" on trip
4. Confirm deletion</t>
  </si>
  <si>
    <t>1. Success message
2. Trip marked as IsDeleted=true
3. Trip removed from list
4. HTTP 204 No Content</t>
  </si>
  <si>
    <t>TR-024</t>
  </si>
  <si>
    <t>Test deleting trip that is InProgress</t>
  </si>
  <si>
    <t>1. Login as admin
2. Try to delete trip with status "InProgress"
3. Confirm</t>
  </si>
  <si>
    <t>1. Warning message or confirmation required
2. Trip deleted if confirmed
3. Status change recorded</t>
  </si>
  <si>
    <t>1. Trip in InProgress status</t>
  </si>
  <si>
    <t>TR-025</t>
  </si>
  <si>
    <t>Test deleting non-existent trip</t>
  </si>
  <si>
    <t>1. Login as admin
2. Send DELETE to non-existent trip ID</t>
  </si>
  <si>
    <t>TR-026</t>
  </si>
  <si>
    <t>Test deleting already deleted trip</t>
  </si>
  <si>
    <t>1. Login as admin
2. Try to delete trip already marked IsDeleted=true</t>
  </si>
  <si>
    <t>1. Deleted trip exists</t>
  </si>
  <si>
    <t>TR-027</t>
  </si>
  <si>
    <t>Test deleted trip disappears from active list</t>
  </si>
  <si>
    <t>1. Login as admin
2. Delete a trip
3. View trip list</t>
  </si>
  <si>
    <t>1. Deleted trip not shown
2. Trip count decreased</t>
  </si>
  <si>
    <t>START TRIP</t>
  </si>
  <si>
    <t>TR-028</t>
  </si>
  <si>
    <t>Test driver starting a scheduled trip</t>
  </si>
  <si>
    <t>1. Login as driver
2. Navigate to My Trips
3. Select today's scheduled trip
4. Click "Start Trip"</t>
  </si>
  <si>
    <t>1. Success message "Trip started successfully"
2. Trip status changed to "InProgress"
3. StartTime timestamp set to current time
4. Driver can now update location and attendance</t>
  </si>
  <si>
    <t>1. Driver assigned to trip
2. Trip status = "Scheduled"
3. Service date = today</t>
  </si>
  <si>
    <t>TR-029</t>
  </si>
  <si>
    <t>Test starting trip by unauthorized driver</t>
  </si>
  <si>
    <t>1. Login as driver A
2. Try to start trip assigned to driver B
3. Call POST /api/trip/{tripId}/start</t>
  </si>
  <si>
    <t>1. HTTP 400 Bad Request or 403 Forbidden
2. Error "You don't have access to this trip"
3. Trip not started</t>
  </si>
  <si>
    <t>1. Trip assigned to different driver</t>
  </si>
  <si>
    <t>TR-030</t>
  </si>
  <si>
    <t>Test starting trip not in Scheduled status</t>
  </si>
  <si>
    <t>1. Login as driver
2. Try to start trip already InProgress
3. Call POST /api/trip/{id}/start</t>
  </si>
  <si>
    <t>1. HTTP 400 Bad Request
2. Error "Trip is not in Scheduled status"
3. No changes made</t>
  </si>
  <si>
    <t>1. Trip status = "InProgress" or "Completed"</t>
  </si>
  <si>
    <t>TR-031</t>
  </si>
  <si>
    <t>Test starting non-existent trip</t>
  </si>
  <si>
    <t>1. Login as driver
2. Call POST /api/trip/{invalid-id}/start</t>
  </si>
  <si>
    <t>1. HTTP 400 Bad Request or 404
2. Error message "Trip not found"</t>
  </si>
  <si>
    <t>TR-032</t>
  </si>
  <si>
    <t>Test unauthorized user (non-driver) starting trip</t>
  </si>
  <si>
    <t>1. Login as parent or admin (not driver role)
2. Try to call start trip endpoint</t>
  </si>
  <si>
    <t>1. HTTP 403 Forbidden
2. Role authorization error</t>
  </si>
  <si>
    <t>1. User without Driver role</t>
  </si>
  <si>
    <t>END_TRIP</t>
  </si>
  <si>
    <t>TR-033</t>
  </si>
  <si>
    <t>Test driver ending an in-progress trip</t>
  </si>
  <si>
    <t>1. Login as driver
2. Navigate to active trip
3. Click "End Trip"</t>
  </si>
  <si>
    <t>1. Success message "Trip ended successfully"
2. Trip status changed to "Completed"
3. EndTime timestamp set
4. Trip summary may be calculated</t>
  </si>
  <si>
    <t>1. Driver assigned to trip
2. Trip status = "InProgress"</t>
  </si>
  <si>
    <t>TR-034</t>
  </si>
  <si>
    <t>Test ending trip by unauthorized driver</t>
  </si>
  <si>
    <t>1. Login as driver A
2. Try to end trip assigned to driver B
3. Call POST /api/trip/{tripId}/end</t>
  </si>
  <si>
    <t>1. HTTP 400 Bad Request or 403
2. Error "You don't have access"
3. Trip not ended</t>
  </si>
  <si>
    <t>TR-035</t>
  </si>
  <si>
    <t>Test ending trip not in InProgress status</t>
  </si>
  <si>
    <t>1. Login as driver
2. Try to end trip with status "Scheduled"
3. Call POST /api/trip/{id}/end</t>
  </si>
  <si>
    <t>1. HTTP 400 Bad Request
2. Error "Trip is not in InProgress status"
3. No changes made</t>
  </si>
  <si>
    <t>1. Trip status = "Scheduled"</t>
  </si>
  <si>
    <t>TR-036</t>
  </si>
  <si>
    <t>Test ending trip without completing all stops</t>
  </si>
  <si>
    <t>1. Login as driver
2. Trip has 5 stops, only 3 completed
3. Click "End Trip"</t>
  </si>
  <si>
    <t>1. Warning or confirmation dialog
2. If confirmed, trip ends
3. Incomplete stops flagged</t>
  </si>
  <si>
    <t>1. Trip InProgress with incomplete stops</t>
  </si>
  <si>
    <t>VIEW_HISTORY</t>
  </si>
  <si>
    <t>TR-058</t>
  </si>
  <si>
    <t>Test driver viewing trips by date</t>
  </si>
  <si>
    <t>1. Login as driver
2. Call GET /api/trip/by-date?date=2025-12-01
3. View results</t>
  </si>
  <si>
    <t>1. List of trips for December 1, 2025
2. Only trips assigned to this driver
3. Each trip shows: id, name, plannedStart, plannedEnd, vehicle plate, status, totalStops, completedStops
4. Date filter working</t>
  </si>
  <si>
    <t>1. Driver has trips on specified date</t>
  </si>
  <si>
    <t>TR-059</t>
  </si>
  <si>
    <t>Test viewing today's trips</t>
  </si>
  <si>
    <t>1. Login as driver
2. Call GET /api/trip/by-date (no date param, defaults to today)
3. View results</t>
  </si>
  <si>
    <t>1. List of today's trips returned
2. Only driver's trips shown
3. Trips sorted by planned start time</t>
  </si>
  <si>
    <t>1. Driver has trips today</t>
  </si>
  <si>
    <t>TR-060</t>
  </si>
  <si>
    <t>Test viewing trip history shows completion status</t>
  </si>
  <si>
    <t>1. Login as driver
2. View trips for past week
3. Check each trip</t>
  </si>
  <si>
    <t>1. Completed trips show all stops completed
2. Incomplete trips show partial completion
3. totalStops and completedStops accurate</t>
  </si>
  <si>
    <t>1. Driver has mix of completed/incomplete trips</t>
  </si>
  <si>
    <t>TR-061</t>
  </si>
  <si>
    <t>Test driver viewing trip detail history</t>
  </si>
  <si>
    <t>TR-062</t>
  </si>
  <si>
    <t>Test viewing history for unauthorized trip</t>
  </si>
  <si>
    <t>1. Login as driver A
2. Try to view detail for trip assigned to driver B</t>
  </si>
  <si>
    <t>1. HTTP 404 Not Found
2. Error "Trip not found or you don't have access"
3. No data returned</t>
  </si>
  <si>
    <t>HANDLE_ABSENT</t>
  </si>
  <si>
    <t>TR-063</t>
  </si>
  <si>
    <t>Test supervisor marking student as absent</t>
  </si>
  <si>
    <t>1. Login as supervisor
2. Navigate to today's trips
3. Select trip
4. Find student "Mike Johnson" at stop #2
5. Mark as "Absent"</t>
  </si>
  <si>
    <t>1. Success message
2. Student attendance state = "Absent"
3. Timestamp recorded
4. Parent notified of absence</t>
  </si>
  <si>
    <t>1. Supervisor assigned to trip
2. Trip status = InProgress or Scheduled
3. Student registered for trip</t>
  </si>
  <si>
    <t>TR-064</t>
  </si>
  <si>
    <t>Test marking student absent after boarding</t>
  </si>
  <si>
    <t>1. Login as supervisor
2. Student already checked in (BoardedAt set)
3. Try to mark as absent
4. Submit</t>
  </si>
  <si>
    <t>1. Warning "Student already boarded"
2. Absent marking may be blocked or require override
3. Reason required</t>
  </si>
  <si>
    <t>1. Student checked in on bus</t>
  </si>
  <si>
    <t>TR-065</t>
  </si>
  <si>
    <t>Test supervisor viewing trip with attendance details</t>
  </si>
  <si>
    <t>1. Login as supervisor
2. Call GET /api/supervisor/trips/{tripId}
3. View trip detail</t>
  </si>
  <si>
    <t>1. Trip details displayed
2. All stops with students listed
3. Attendance status shown for each student
4. Absent students highlighted</t>
  </si>
  <si>
    <t>1. Supervisor assigned to trip</t>
  </si>
  <si>
    <t>TR-066</t>
  </si>
  <si>
    <t>Test unauthorized supervisor accessing trip</t>
  </si>
  <si>
    <t>1. Login as supervisor A
2. Try to access trip assigned to supervisor B
3. Call GET /api/supervisor/trips/{tripId}</t>
  </si>
  <si>
    <t>1. HTTP 403 Forbidden
2. Error or empty response
3. No access granted</t>
  </si>
  <si>
    <t>1. Trip assigned to different supervisor</t>
  </si>
  <si>
    <t>GENERATE_TRIPS</t>
  </si>
  <si>
    <t>TR-070</t>
  </si>
  <si>
    <t>Test generating trips from schedule for date range</t>
  </si>
  <si>
    <t>1. Login as admin
2. Call POST /api/trip/generate-from-schedule
3. Params: scheduleId, startDate=2025-12-01, endDate=2025-12-31
4. Submit</t>
  </si>
  <si>
    <t>1. Success message
2. Trips generated for all applicable days in range
3. Each trip has route, times, schedule snapshot
4. RRule evaluated correctly</t>
  </si>
  <si>
    <t>1. Schedule with RRule exists
2. Schedule has active route assignments</t>
  </si>
  <si>
    <t>TR-071</t>
  </si>
  <si>
    <t>Test generating trips for non-existent schedule</t>
  </si>
  <si>
    <t>1. Login as admin
2. Call generate with invalid scheduleId
3. Submit</t>
  </si>
  <si>
    <t>1. HTTP 400 or 404 error
2. Error "Schedule not found"
3. No trips created</t>
  </si>
  <si>
    <t>TR-072</t>
  </si>
  <si>
    <t>Test automatic trip generation (7 days ahead)</t>
  </si>
  <si>
    <t>1. Login as admin
2. Call POST /api/trip/generate-all-automatic?daysAhead=7
3. Submit</t>
  </si>
  <si>
    <t>1. Success response
2. Trips auto-generated for next 7 days
3. All active schedules processed
4. Result summary: total trips created, schedules processed</t>
  </si>
  <si>
    <t>1. Multiple active schedules exist</t>
  </si>
  <si>
    <t>TR-073</t>
  </si>
  <si>
    <t>Test trip generation respects schedule recurrence rule</t>
  </si>
  <si>
    <t>1. Login as admin
2. Schedule with RRule "FREQ=WEEKLY;BYDAY=MO,WE,FR"
3. Generate trips for 2 weeks
4. Check results</t>
  </si>
  <si>
    <t>1. Trips only generated for Mon, Wed, Fri
2. No trips on Tue, Thu, Sat, Sun
3. RRule correctly interpreted</t>
  </si>
  <si>
    <t>1. Schedule with specific RRule</t>
  </si>
  <si>
    <t>PARENT_VIEW_TRIPS</t>
  </si>
  <si>
    <t>TR-075</t>
  </si>
  <si>
    <t>Test parent viewing upcoming trips for their child</t>
  </si>
  <si>
    <t>1. Login as parent
2. Call GET /api/trip/parent/upcoming?days=7
3. View results</t>
  </si>
  <si>
    <t>1. List of trips for next 7 days
2. Only trips where child is registered
3. Each trip shows: route, date, times, status
4. Stops with child's pickup point highlighted</t>
  </si>
  <si>
    <t>1. Parent has child registered for trips</t>
  </si>
  <si>
    <t>TR-076</t>
  </si>
  <si>
    <t>Test parent viewing trips by date</t>
  </si>
  <si>
    <t>1. Login as parent
2. Call GET /api/trip/parent/date?date=2025-12-05
3. View results</t>
  </si>
  <si>
    <t>1. Trips for December 5, 2025 returned
2. Only trips with parent's child
3. Date filter working</t>
  </si>
  <si>
    <t>1. Child has trips on specified date</t>
  </si>
  <si>
    <t>TR-077</t>
  </si>
  <si>
    <t>Test parent viewing trip detail for unauthorized trip</t>
  </si>
  <si>
    <t>1. Login as parent
2. Call GET /api/trip/parent/{tripId}
3. View trip detail</t>
  </si>
  <si>
    <t>1. Full trip details shown
2. Child's stop and attendance visible
3. Vehicle and driver info shown
4. Real-time status if InProgress</t>
  </si>
  <si>
    <t>1. Parent's child registered for trip</t>
  </si>
  <si>
    <t>TR-078</t>
  </si>
  <si>
    <t>1. Login as parent A
2. Try to view trip for child of parent B
3. Call GET /api/trip/parent/{tripId}</t>
  </si>
  <si>
    <t>1. Trip doesn't include parent A's child</t>
  </si>
  <si>
    <t>Verifies the complete attendance management flow—including recording, updating, and reviewing student attendance across trips—covering check-in/out logic, validation against schedules, role permissions, real-time synchronization, and error handling.</t>
  </si>
  <si>
    <t>AUTOMATED_ATTENDANCE</t>
  </si>
  <si>
    <t>ATT-001</t>
  </si>
  <si>
    <t>Test automatic attendance recording when student checks in</t>
  </si>
  <si>
    <t>1. Login as driver
2. Trip InProgress
3. At stop #2
4. Check in student "John Doe" manually
5. View attendance record</t>
  </si>
  <si>
    <t>1. Attendance record created automatically
2. StudentId and StudentName populated
3. BoardedAt timestamp set to current time
4. State = "Present"
5. Record saved in trip stop attendance list</t>
  </si>
  <si>
    <t>1. Trip InProgress
2. Driver at stop
3. Student assigned to this stop</t>
  </si>
  <si>
    <t>ATT-002</t>
  </si>
  <si>
    <t>Test attendance state validation with valid states</t>
  </si>
  <si>
    <t>1. Login as admin
2. Call PUT /api/trip/{tripId}/attendance
3. Try each valid state: "Present", "Absent", "Late", "Excused", "Pending"
4. Submit each one</t>
  </si>
  <si>
    <t>1. All valid states accepted
2. Attendance updated successfully
3. No validation errors</t>
  </si>
  <si>
    <t>1. Trip exists with students</t>
  </si>
  <si>
    <t>ATT-003</t>
  </si>
  <si>
    <t>Test attendance state validation with invalid state</t>
  </si>
  <si>
    <t>1. Login as admin
2. Call PUT /api/trip/{tripId}/attendance
3. Set state = "InvalidState"
4. Submit</t>
  </si>
  <si>
    <t>1. HTTP 400 Bad Request
2. Error message "Invalid attendance state 'InvalidState'. Valid states are: Present, Absent, Late, Excused, Pending"
3. Attendance not updated</t>
  </si>
  <si>
    <t>ATT-004</t>
  </si>
  <si>
    <t>Test attendance state validation with empty/null state</t>
  </si>
  <si>
    <t>1. Login as admin
2. Call PUT /api/trip/{tripId}/attendance
3. Set state = "" or null
4. Submit</t>
  </si>
  <si>
    <t>1. HTTP 400 Bad Request
2. Error "Attendance state cannot be null or empty"
3. Attendance not updated</t>
  </si>
  <si>
    <t>ATT-005</t>
  </si>
  <si>
    <t>Test attendance recording for multiple students at same stop</t>
  </si>
  <si>
    <t>1. Login as driver
2. At stop #2 with 5 students
3. Check in all 5 students one by one
4. View stop attendance</t>
  </si>
  <si>
    <t>1. 5 attendance records created
2. Each has unique StudentId
3. All have BoardedAt timestamps
4. All have State = "Present"
5. Records in correct sequence</t>
  </si>
  <si>
    <t>1. Stop with 5 assigned students</t>
  </si>
  <si>
    <t>MANUAL_ATTENDANCE_SUPERVISOR</t>
  </si>
  <si>
    <t>ATT-006</t>
  </si>
  <si>
    <t>Test supervisor manually updating student attendance to Present</t>
  </si>
  <si>
    <t>1. Login as supervisor
2. Navigate to active trip
3. Select stop #2
4. Find student "Jane Smith"
5. Set attendance state to "Present"
6. Click "Update Attendance"</t>
  </si>
  <si>
    <t>1. Success message "Attendance updated successfully"
2. Student state = "Present"
3. BoardedAt timestamp set
4. Real-time update via SignalR to admins
5. Response includes tripId, stopId, studentId, state</t>
  </si>
  <si>
    <t>1. Supervisor assigned to trip
2. Trip InProgress or Scheduled
3. Student registered for trip</t>
  </si>
  <si>
    <t>ATT-007</t>
  </si>
  <si>
    <t>Test supervisor marking student as Absent</t>
  </si>
  <si>
    <t>1. Login as supervisor
2. Navigate to trip
3. Select student at stop
4. Mark attendance as "Absent"
5. Submit</t>
  </si>
  <si>
    <t>1. Success message
2. Student state = "Absent"
3. BoardedAt timestamp may be null
4. Attendance record updated
5. Parent may receive absence notification</t>
  </si>
  <si>
    <t>1. Supervisor has access to trip
2. Student expected at stop</t>
  </si>
  <si>
    <t>ATT-008</t>
  </si>
  <si>
    <t>Test supervisor marking student as Late</t>
  </si>
  <si>
    <t>1. Login as supervisor
2. Student arriving after scheduled time
3. Mark attendance as "Late"
4. Submit</t>
  </si>
  <si>
    <t>1. Success message
2. Student state = "Late"
3. BoardedAt timestamp set
4. Late arrival recorded</t>
  </si>
  <si>
    <t>1. Student may have approved absence request
2. Trip exists</t>
  </si>
  <si>
    <t>ATT-009</t>
  </si>
  <si>
    <t>Test supervisor marking student as Excused</t>
  </si>
  <si>
    <t>1. Login as supervisor
2. Select student
3. Mark attendance as "Excused" (has absence request approved)
4. Submit</t>
  </si>
  <si>
    <t>1. Success message
2. Student state = "Excused"
3. Attendance marked
4. May link to absence request if exists</t>
  </si>
  <si>
    <t>ATT-010</t>
  </si>
  <si>
    <t>Test supervisor updating attendance without specifying stopId</t>
  </si>
  <si>
    <t>1. Login as admin (simulating supervisor)
2. Call PUT /api/trip/{tripId}/attendance
3. Body: {studentId, state: "Present"}, stopId = null
4. Submit</t>
  </si>
  <si>
    <t>1. Success if student's CurrentPickupPointId can be derived
2. System finds stop automatically from student's pickup point
3. Attendance updated at correct stop</t>
  </si>
  <si>
    <t>1. Student has CurrentPickupPointId set
2. Trip has matching stop</t>
  </si>
  <si>
    <t>VIEW_ATTENDANCE_PARENT</t>
  </si>
  <si>
    <t>ATT-013</t>
  </si>
  <si>
    <t>Test parent viewing child's attendance for a trip</t>
  </si>
  <si>
    <t>1. Login as parent
2. Navigate to My Child's Trips
3. Select specific trip
4. View attendance details</t>
  </si>
  <si>
    <t>1. Child's attendance status displayed
2. Shows: StudentName, State, BoardedAt time
3. Stop location shown
4. Current attendance state visible</t>
  </si>
  <si>
    <t>1. Parent has child registered
2. Child is on trip
3. Attendance recorded</t>
  </si>
  <si>
    <t>ATT-014</t>
  </si>
  <si>
    <t>Test parent viewing trip stops with child's attendance</t>
  </si>
  <si>
    <t>1. Login as parent
2. Call GET /api/trip/parent/{tripId}
3. View trip details</t>
  </si>
  <si>
    <t>1. Trip details returned
2. Each stop shows attendance list
3. Child's attendance highlighted or filtered
4. Stop details: plannedArrival, actualArrival, location
5. Attendance: StudentId, StudentName, BoardedAt, State</t>
  </si>
  <si>
    <t>1. Parent's child on trip</t>
  </si>
  <si>
    <t>ATT-015</t>
  </si>
  <si>
    <t>Test parent viewing multiple trips with attendance summary</t>
  </si>
  <si>
    <t>1. Login as parent
2. Call GET /api/trip/parent/date?date=2025-12-05
3. View trips for specific date</t>
  </si>
  <si>
    <t>1. List of trips for date returned
2. Each trip shows basic info
3. Child's attendance status visible
4. Can see if child attended or was absent</t>
  </si>
  <si>
    <t>1. Parent has child
2. Child has trips on date</t>
  </si>
  <si>
    <t>ATT-016</t>
  </si>
  <si>
    <t>Test parent trying to view attendance for other parent's child</t>
  </si>
  <si>
    <t>1. Login as parent A
2. Try to access trip detail for child of parent B
3. Call GET /api/trip/parent/{tripId}</t>
  </si>
  <si>
    <t>1. HTTP 404 Not Found
2. Error "Trip not found or you don't have access to this trip"
3. No attendance data returned</t>
  </si>
  <si>
    <t>HANDLE_ABSENT_STUDENT</t>
  </si>
  <si>
    <t>ATT-019</t>
  </si>
  <si>
    <t>Test supervisor marking student as absent before trip starts</t>
  </si>
  <si>
    <t>1. Login as supervisor
2. Trip status = Scheduled
3. Mark student "Mike Johnson" as "Absent"
4. Submit</t>
  </si>
  <si>
    <t>1. Success message
2. Student attendance state = "Absent"
3. Parent notified of absence marking
4. Student removed from expected boarding count</t>
  </si>
  <si>
    <t>1. Supervisor assigned to trip
2. Trip Scheduled status
3. Student registered</t>
  </si>
  <si>
    <t>ATT-020</t>
  </si>
  <si>
    <t>Test supervisor marking student absent during trip</t>
  </si>
  <si>
    <t>1. Login as supervisor
2. Trip InProgress
3. At stop #2, student doesn't show up
4. Wait reasonable time
5. Mark student as "Absent"</t>
  </si>
  <si>
    <t>1. Success message
2. State = "Absent"
3. BoardedAt remains null
4. Parent notified
5. Attendance summary updated</t>
  </si>
  <si>
    <t>1. Trip InProgress
2. Student expected but didn't board</t>
  </si>
  <si>
    <t>ATT-021</t>
  </si>
  <si>
    <t>est marking student absent after they already boarded</t>
  </si>
  <si>
    <t>1. Login as supervisor
2. Student already checked in (BoardedAt set)
3. Try to mark as "Absent"
4. Submit</t>
  </si>
  <si>
    <t>1. Warning or confirmation required
2. Error "Student already boarded" or
3. Requires override reason if allowed
4. Previous BoardedAt timestamp preserved</t>
  </si>
  <si>
    <t>1. Student already present on bus</t>
  </si>
  <si>
    <t>ATT-022</t>
  </si>
  <si>
    <t>Test supervisor handling student with approved absence request</t>
  </si>
  <si>
    <t>1. Student has approved absence request for date
2. Login as supervisor
3. View trip attendance
4. Mark student as "Excused"</t>
  </si>
  <si>
    <t>1. Student can be marked as "Excused"
2. Links to absence request
3. Parent already notified via absence system
4. No unexpected absence notification</t>
  </si>
  <si>
    <t>1. Approved absence request exists for student and date</t>
  </si>
  <si>
    <t>ATT-023</t>
  </si>
  <si>
    <t>Test supervisor viewing absent students summary</t>
  </si>
  <si>
    <t>1. Login as supervisor
2. Trip InProgress or Completed
3. Call GET /api/trip/{tripId}/attendance
4. View summary</t>
  </si>
  <si>
    <t>1. Attendance summary by state returned
2. Shows: present count, absent count, late count, excused count, pending count
3. Total stops and total attendance records
4. JSON format with grouped counts</t>
  </si>
  <si>
    <t>1. Trip with mixed attendance states</t>
  </si>
  <si>
    <t>VIEW_STUDENT_LIST_BUS</t>
  </si>
  <si>
    <t>ATT-026</t>
  </si>
  <si>
    <t>Test viewing all students registered for a trip</t>
  </si>
  <si>
    <t>1. Login as admin
2. Navigate to trip detail
3. View student list</t>
  </si>
  <si>
    <t>1. Complete list of students registered for trip
2. Grouped by stop
3. Each student shows: Name, Stop, Sequence, Attendance State
4. List sorted by stop sequence order</t>
  </si>
  <si>
    <t>ATT-027</t>
  </si>
  <si>
    <t>Test viewing students currently on bus (checked in)</t>
  </si>
  <si>
    <t>1. Login as driver or supervisor
2. Trip InProgress
3. View "Students on Bus" list
4. Filter by State = "Present"</t>
  </si>
  <si>
    <t>1. List shows only students who checked in
2. Students with State = "Present"
3. BoardedAt timestamp shown
4. Count of students on bus displayed
5. Excludes students who haven't boarded</t>
  </si>
  <si>
    <t>1. Trip InProgress
2. Some students checked in</t>
  </si>
  <si>
    <t>ATT-028</t>
  </si>
  <si>
    <t>Test viewing students not yet boarded at current stop</t>
  </si>
  <si>
    <t>1. Login as driver
2. At stop #3
3. View students expected at this stop
4. Filter by State = "Pending"</t>
  </si>
  <si>
    <t>1. List of students expected at stop #3
2. Shows students with State = "Pending" or not checked in
3. Waiting list displayed
4. Count shown</t>
  </si>
  <si>
    <t>1. Trip InProgress
2. At specific stop
3. Some students not boarded</t>
  </si>
  <si>
    <t>ATT-029</t>
  </si>
  <si>
    <t>Test student list grouped by attendance status</t>
  </si>
  <si>
    <t>1. Login as supervisor
2. View trip attendance
3. Group by State</t>
  </si>
  <si>
    <t>1. Students grouped into:
- Present
- Absent
- Late
- Excused
- Pending
2. Count for each group
3. Expandable sections</t>
  </si>
  <si>
    <t>ATT-030</t>
  </si>
  <si>
    <t>Test filtering student list by stop</t>
  </si>
  <si>
    <t>1. Login as admin
2. View trip with 8 stops
3. Filter students by stop #5</t>
  </si>
  <si>
    <t>1. Only students assigned to stop #5 shown
2. Stop location displayed
3. Attendance for these students visible
4. Count of students at this stop</t>
  </si>
  <si>
    <t>ATTENDANCE_SUMMARY</t>
  </si>
  <si>
    <t>ATT-042</t>
  </si>
  <si>
    <t>Test getting attendance summary for a trip</t>
  </si>
  <si>
    <t>1. Login as admin
2. Call GET /api/trip/{tripId}/attendance
3. View summary</t>
  </si>
  <si>
    <t>1. JSON response returned
2. attendanceSummary object with counts:
- Present: count
- Absent: count
- Late: count
- Excused: count
- Pending: count
3. totalStops: number
4. totalAttendanceRecords: number</t>
  </si>
  <si>
    <t>1. Trip with students and attendance</t>
  </si>
  <si>
    <t>ATT-043</t>
  </si>
  <si>
    <t>Test attendance summary calculation accuracy</t>
  </si>
  <si>
    <t>1. Trip has 20 students:
- 15 Present
- 3 Absent
- 2 Late
2. Call attendance summary
3. Verify counts</t>
  </si>
  <si>
    <t>1. Present: 15
2. Absent: 3
3. Late: 2
4. Total: 20
5. Percentages can be calculated</t>
  </si>
  <si>
    <t>1. Trip with known attendance distribution</t>
  </si>
  <si>
    <t>ATT-044</t>
  </si>
  <si>
    <t>Test attendance summary shows zero for unused states</t>
  </si>
  <si>
    <t>1. Trip where all students are Present
2. No students Absent, Late, or Excused
3. Get attendance summary</t>
  </si>
  <si>
    <t>1. Present: count &gt; 0
2. Absent: 0 (or omitted)
3. Late: 0 (or omitted)
4. Excused: 0 (or omitted)
5. Pending: 0 or remaining</t>
  </si>
  <si>
    <t>1. Trip with all students present</t>
  </si>
  <si>
    <t>ATT-045</t>
  </si>
  <si>
    <t>Test attendance summary grouped by stop</t>
  </si>
  <si>
    <t>1. Login as admin
2. Get trip with attendance
3. Process by stop</t>
  </si>
  <si>
    <t>1. Can calculate attendance per stop
2. Each stop shows its students' states
3. Stop #1: 5 Present, 1 Absent
4. Stop #2: 10 Present, 0 Absent, etc.</t>
  </si>
  <si>
    <t>ATT-046</t>
  </si>
  <si>
    <t>Test attendance completion percentage calculation</t>
  </si>
  <si>
    <t>1. Trip has 30 total students
2. 25 have non-Pending states
3. 5 still Pending
4. Calculate completion</t>
  </si>
  <si>
    <t>1. Attendance taken for: 25/30 = 83.3%
2. Pending: 5/30 = 16.7%
3. Completion rate calculated</t>
  </si>
  <si>
    <t>1. Trip partially completed</t>
  </si>
  <si>
    <t>REALTIME_UPDATES</t>
  </si>
  <si>
    <t>ATT-047</t>
  </si>
  <si>
    <t>Test real-time attendance update broadcast to admins</t>
  </si>
  <si>
    <t>1. Admin has dashboard open
2. Connected to SignalR hub
3. Driver updates student attendance
4. Admin receives update</t>
  </si>
  <si>
    <t>1. SignalR message "AttendanceUpdated" received
2. Message contains:
- tripId
- stopId
- attendance summary (present, absent, late, etc.)
- arrivedAt, departedAt
- timestamp
3. UI updates automatically</t>
  </si>
  <si>
    <t>1. Admin in "Admins" SignalR group
2. Trip InProgress
3. WebSocket connection active</t>
  </si>
  <si>
    <t>ATT-048</t>
  </si>
  <si>
    <t>Test attendance update includes stop progress times</t>
  </si>
  <si>
    <t>1. Driver marks arrivedAt for stop
2. Checks in students
3. Marks departedAt
4. Observer watches SignalR</t>
  </si>
  <si>
    <t>1. Attendance update message includes arrivedAt
2. Includes departedAt when set
3. Stop progress tracked with attendance</t>
  </si>
  <si>
    <t>1. Stop with timeline</t>
  </si>
  <si>
    <t>ATT-049</t>
  </si>
  <si>
    <t>Test multiple concurrent attendance updates</t>
  </si>
  <si>
    <t>1. 2 supervisors updating attendance simultaneously
2. Both update different students
3. Check for conflicts</t>
  </si>
  <si>
    <t>1. Both updates succeed
2. No data loss
3. SignalR broadcasts both updates
4. Last-write-wins or conflict resolution</t>
  </si>
  <si>
    <t>1. Multiple users with access</t>
  </si>
  <si>
    <t>ATT-050</t>
  </si>
  <si>
    <t>Test SignalR connection failure handling</t>
  </si>
  <si>
    <t>1. Admin connected to SignalR
2. Network disconnection occurs
3. Attendance updated during outage
4. Connection restored</t>
  </si>
  <si>
    <t>1. Updates queued or missed during outage
2. On reconnect, client fetches latest state
3 Graceful degradation
4. No permanent data loss</t>
  </si>
  <si>
    <t>1. Network interruption simulation</t>
  </si>
  <si>
    <t>ATTENDANCE_NOTIFICATIONS</t>
  </si>
  <si>
    <t>ATT-056</t>
  </si>
  <si>
    <t>Test parent notification when child checks in</t>
  </si>
  <si>
    <t>1. Driver checks in student
2. Student marked "Present"
3. Parent receives notification</t>
  </si>
  <si>
    <t>1. Notification sent to parent
2. Message: "Your child [Name] has boarded the bus at [Stop]"
3. Timestamp included
4. Trip details provided</t>
  </si>
  <si>
    <t>1. Parent registered with email/phone
2. Notification service active</t>
  </si>
  <si>
    <t>ATT-057</t>
  </si>
  <si>
    <t>Test parent notification when child marked absent</t>
  </si>
  <si>
    <t>1. Supervisor marks child "Absent"
2. Parent should be notified</t>
  </si>
  <si>
    <t>1. Notification sent
2. Message: "Your child [Name] was marked absent from trip on [Date]"
3. Supervisor contact info included
4. Prompt to contact school if unexpected</t>
  </si>
  <si>
    <t>1. Parent contact info available</t>
  </si>
  <si>
    <t>ATT-058</t>
  </si>
  <si>
    <t>Test parent notification when child arrives late</t>
  </si>
  <si>
    <t>1. Student marked "Late"
2. Parent notification triggered</t>
  </si>
  <si>
    <t>1. Notification sent
2. Message indicates late arrival
3. Timestamp of boarding shown
4. Scheduled vs actual time comparison</t>
  </si>
  <si>
    <t>1. Student late to stop</t>
  </si>
  <si>
    <t>ATT-059</t>
  </si>
  <si>
    <t>Test no notification for excused absence</t>
  </si>
  <si>
    <t>1. Student has approved absence request
2. Marked "Excused"
3. Check notifications</t>
  </si>
  <si>
    <t>1. No "unexpected absence" notification
2. May send confirmation "Excused absence confirmed"
3. Different from unexcused absent</t>
  </si>
  <si>
    <t>1. Approved absence request exists</t>
  </si>
  <si>
    <t>ATT-060</t>
  </si>
  <si>
    <t>Test notification batching for multiple children</t>
  </si>
  <si>
    <t>1. Parent has 2 children on same trip
2. Both check in
3. Check notifications</t>
  </si>
  <si>
    <t>1. Single batched notification or
2. Two separate notifications
3. All children's statuses included
4. No duplicate messages</t>
  </si>
  <si>
    <t>1. Parent with 2+ children</t>
  </si>
  <si>
    <t>Verifies the complete flow for parents registering for shuttle service and making payments—including request submission, approval workflow, fee calculation, payment processing, invoice generation, and error handling—covering validation, permission control, pricing rules, and integration with other modules.</t>
  </si>
  <si>
    <t>REG-001</t>
  </si>
  <si>
    <t>Test checking registration eligibility (New Parent)</t>
  </si>
  <si>
    <t>1. Call GET /api/enrollment/eligibility?email={new_email}
2. Check response</t>
  </si>
  <si>
    <t>1. Returns 200 OK
2. IsRegistrationWindowOpen = true (if in window)
3. List of eligible students associated with email
4. No blocked students</t>
  </si>
  <si>
    <t>1. Registration window open
2. Email linked to students in system</t>
  </si>
  <si>
    <t>NhiPTKN</t>
  </si>
  <si>
    <t>REG-002</t>
  </si>
  <si>
    <t>Test registration eligibility with assigned students (Relocation Check)</t>
  </si>
  <si>
    <t>1. Parent has student ALREADY assigned to a pickup point
2. Call GET /api/enrollment/eligibility
3. Check response</t>
  </si>
  <si>
    <t>1. Returns 200 OK
2. Student appears in BlockedStudents list
3. Reason: "Already assigned..."
4. Cannot select this student for new registration</t>
  </si>
  <si>
    <t>1. Student has active assignment</t>
  </si>
  <si>
    <t>REG-003</t>
  </si>
  <si>
    <t>Test requesting OTP for registration</t>
  </si>
  <si>
    <t>1. Call POST /api/enrollment/register
2. Body: {email, personalDetails}
3. Submit</t>
  </si>
  <si>
    <t>1. Returns 200 OK
2. OtpSent = true
3. Email received with 6-digit code
4. ParentRegistration record created/updated</t>
  </si>
  <si>
    <t>1. Valid email in system</t>
  </si>
  <si>
    <t>REG-004</t>
  </si>
  <si>
    <t>Test verifying OTP and getting student list</t>
  </si>
  <si>
    <t>1. Call POST /api/enrollment/verify-otp
2. Body: {email, otp}
3. Submit</t>
  </si>
  <si>
    <t>1. Returns 200 OK
2. Verified = true
3. Returns list of students linked to this email</t>
  </si>
  <si>
    <t xml:space="preserve">1. OTP sent previously	</t>
  </si>
  <si>
    <t>REG-005</t>
  </si>
  <si>
    <t>Test submitting pickup point request (Success)</t>
  </si>
  <si>
    <t>1. Call POST /api/enrollment/submit-request
2. Body: {studentIds, address, lat, long, distanceKm}
3. Submit</t>
  </si>
  <si>
    <t>1. Returns 200 OK
2. RequestId returned
3. Status = "Pending"
4. TotalFee calculated and saved
5. Request saved in database</t>
  </si>
  <si>
    <t>1. OTP verified
2. Valid students selected</t>
  </si>
  <si>
    <t>REG-006</t>
  </si>
  <si>
    <t>Test submitting request with invalid student ID</t>
  </si>
  <si>
    <t>1. Call POST /api/enrollment/submit-request
2. Body: {studentIds: [invalid_guid]}
3. Submit</t>
  </si>
  <si>
    <t>1. Returns 400/500 Error
2. Error message "Invalid student list"
3. Request NOT created</t>
  </si>
  <si>
    <t>ADMIN_APPROVAL</t>
  </si>
  <si>
    <t>REG-007</t>
  </si>
  <si>
    <t>Test approving pending request</t>
  </si>
  <si>
    <t>1. Login as Admin
2. Call POST /api/enrollment/approve/{requestId}
3. Body: {notes: "Approved"}
4. Submit</t>
  </si>
  <si>
    <t>1. Returns 200 OK
2. Request Status = "Approved"
3. PickupPoint created
4. Student assigned to PickupPoint (History created)
5. Parent Account created (if new)
6. Transaction created for fee</t>
  </si>
  <si>
    <t>1. Pending request exists</t>
  </si>
  <si>
    <t>REG-008</t>
  </si>
  <si>
    <t>Test rejecting pending request</t>
  </si>
  <si>
    <t>1. Login as Admin
2. Call POST /api/enrollment/reject/{requestId}
3. Body: {reason: "Invalid address"}
4. Submit</t>
  </si>
  <si>
    <t>1. Returns 200 OK
2. Request Status = "Rejected"
3. Rejection email sent to parent
4. No PickupPoint/Transaction created</t>
  </si>
  <si>
    <t>REG-009</t>
  </si>
  <si>
    <t>Test approving already processed request</t>
  </si>
  <si>
    <t>1. Request is already "Approved" or "Rejected"
2. Call POST /api/enrollment/approve/{requestId}
3. Submit</t>
  </si>
  <si>
    <t>1. Returns 200 OK (Idempotent) or 400 Error
2. Status remains unchanged
3. No duplicate records created</t>
  </si>
  <si>
    <t>1. Processed request</t>
  </si>
  <si>
    <t>REG-010</t>
  </si>
  <si>
    <t>Test approval creating parent account</t>
  </si>
  <si>
    <t>1. Request from email WITHOUT existing UserAccount
2. Approve request
3. Check UserAccounts table</t>
  </si>
  <si>
    <t>1. New UserAccount created for parent
2. Password generated and emailed
3. Parent can now login</t>
  </si>
  <si>
    <t>1. New parent email</t>
  </si>
  <si>
    <t>PAYMENT_FLOW</t>
  </si>
  <si>
    <t>PAY-011</t>
  </si>
  <si>
    <t>Test generating QR code for transaction</t>
  </si>
  <si>
    <t>1. Login as Parent
2. Call POST /api/payment/{transactionId}/qrcode
3. Submit</t>
  </si>
  <si>
    <t>1. Returns 200 OK
2. Returns QR code data (PayOS)
3. Transaction status remains "Pending"</t>
  </si>
  <si>
    <t>1. Pending transaction exists</t>
  </si>
  <si>
    <t>PAY-012</t>
  </si>
  <si>
    <t>Test PayOS Webhook (Successful Payment)</t>
  </si>
  <si>
    <t>1. Simulate PayOS webhook POST /api/payment/webhook/payos
2. Body: {orderCode, code: "00", status: "PAID"}
3. Submit</t>
  </si>
  <si>
    <t>1. Returns 200 OK
2. Transaction Status updates to "Paid"
3. PaymentEventLog created</t>
  </si>
  <si>
    <t>1. Pending transaction matches orderCode</t>
  </si>
  <si>
    <t>PAY-013</t>
  </si>
  <si>
    <t>Test PayOS Webhook (Cancelled Payment)</t>
  </si>
  <si>
    <t>1. Simulate PayOS webhook
2. Body: {code: "01", status: "CANCELLED"}
3. Submit</t>
  </si>
  <si>
    <t>1. Returns 200 OK
2. Transaction Status updates to "Cancelled"
3. Log created</t>
  </si>
  <si>
    <t>1. Pending transaction</t>
  </si>
  <si>
    <t>PAY-014</t>
  </si>
  <si>
    <t>Test Payment Return URL (Success)</t>
  </si>
  <si>
    <t>1. Call GET /api/payment/return?code=00&amp;status=PAID&amp;orderCode={code}
2. Check response</t>
  </si>
  <si>
    <t>1. Returns 200 OK
2. JSON response "Payment completed successfully"
3. Status = "paid"</t>
  </si>
  <si>
    <t>1. Valid orderCode</t>
  </si>
  <si>
    <t>PAY-015</t>
  </si>
  <si>
    <t>Test accessing other parent's QR code</t>
  </si>
  <si>
    <t>1. Login as Parent A
2. Try POST /api/payment/{parentB_transactionId}/qrcode
3. Submit</t>
  </si>
  <si>
    <t>1. Transaction belongs to Parent B</t>
  </si>
  <si>
    <t>PAYMENT_HISTORY</t>
  </si>
  <si>
    <t>PAY-016</t>
  </si>
  <si>
    <t>Test viewing my transactions (Parent)</t>
  </si>
  <si>
    <t>1. Login as Parent
2. Call GET /api/transaction/my-transactions
3. Check list</t>
  </si>
  <si>
    <t>1. Returns 200 OK
2. List of transactions for logged-in parent
3. Includes status, amount, date</t>
  </si>
  <si>
    <t>1. Parent has transactions</t>
  </si>
  <si>
    <t>PAY-017</t>
  </si>
  <si>
    <t>Test viewing transaction detail (Invoice)</t>
  </si>
  <si>
    <t>1. Login as Parent
2. Call GET /api/transaction/{id}
3. Check details</t>
  </si>
  <si>
    <t>1. Returns 200 OK
2. Full invoice details: Amount, Period, Student Info, Breakdown
3. Matches generated transaction</t>
  </si>
  <si>
    <t>PAY-018</t>
  </si>
  <si>
    <t>Test filtering transactions by status</t>
  </si>
  <si>
    <t>1. Call GET /api/transaction/my-transactions?status=Paid
2. Check list</t>
  </si>
  <si>
    <t>1. Returns only "Paid" transactions
2. "Pending" transactions excluded</t>
  </si>
  <si>
    <t>1. Mix of transaction statuses</t>
  </si>
  <si>
    <t>PAY-019</t>
  </si>
  <si>
    <t>Test admin viewing parent's transactions</t>
  </si>
  <si>
    <t>1. Login as Admin
2. Call GET /api/transaction/parent/{parentId}
3. Check list</t>
  </si>
  <si>
    <t>1. Returns 200 OK
2. List of transactions for specified parent
3. Full access allowed</t>
  </si>
  <si>
    <t>COST_VIEW</t>
  </si>
  <si>
    <t>PAY-020</t>
  </si>
  <si>
    <t>Test calculating fee before registration</t>
  </si>
  <si>
    <t>1. Call POST /api/transaction/calculate-fee
2. Body: {distanceKm: 5.5}
3. Submit</t>
  </si>
  <si>
    <t>1. Returns 200 OK
2. Returns: UnitPricePerKm, TotalFee, TotalSchoolDays
3. Calculation correct based on active UnitPrice</t>
  </si>
  <si>
    <t>1. Active UnitPrice exists</t>
  </si>
  <si>
    <t>PAY-021</t>
  </si>
  <si>
    <t>Test viewing fee in registration request</t>
  </si>
  <si>
    <t>1. Parent views submitted request details
2. Check TotalFee field</t>
  </si>
  <si>
    <t>1. TotalFee matches calculated amount
2. Fee is fixed at time of submission</t>
  </si>
  <si>
    <t>1. Request submitted</t>
  </si>
  <si>
    <t>PAY-022</t>
  </si>
  <si>
    <t>Test fee calculation with no active unit price</t>
  </si>
  <si>
    <t>1. Deactivate all unit prices
2. Call calculate-fee
3. Submit</t>
  </si>
  <si>
    <t>1. Returns 400/404 Error
2. Message "No active unit price found"</t>
  </si>
  <si>
    <t>1. No active prices</t>
  </si>
  <si>
    <t>REGISTER_HISTORY</t>
  </si>
  <si>
    <t>REG-023</t>
  </si>
  <si>
    <t>Test listing registration requests</t>
  </si>
  <si>
    <t>1. Login as Parent (or use email lookup)
2. Call GET /api/enrollment/requests?parentEmail={email}
3. Check list</t>
  </si>
  <si>
    <t>1. Returns 200 OK
2. List of past and current requests
3. Shows status (Pending, Approved, Rejected)</t>
  </si>
  <si>
    <t>1. Request exists</t>
  </si>
  <si>
    <t>REG-024</t>
  </si>
  <si>
    <t>Test viewing request details</t>
  </si>
  <si>
    <t>1. Get request detail by ID
2. Check info</t>
  </si>
  <si>
    <t>1. Returns full request info
2. Includes AdminNotes (reason for rejection/approval)
3. Includes Student list and Location</t>
  </si>
  <si>
    <t>RELOCATION</t>
  </si>
  <si>
    <t>REG-025</t>
  </si>
  <si>
    <t>Test attempting registration for assigned student (Relocation Attempt)</t>
  </si>
  <si>
    <t>1. Student is already assigned to a pickup point
2. Parent tries to submit NEW request for SAME student
3. Submit</t>
  </si>
  <si>
    <t>1. Returns 400 Bad Request or Blocked in Eligibility
2. System prevents duplicate active assignment
3. Relocation requires manual admin intervention or different flow</t>
  </si>
  <si>
    <t>1. Student assigned</t>
  </si>
  <si>
    <t>REG-026</t>
  </si>
  <si>
    <t>Test submitting request for unassigned sibling</t>
  </si>
  <si>
    <t>1. Student A assigned, Student B unassigned
2. Parent submits request for Student B
3. Submit</t>
  </si>
  <si>
    <t>1. Returns 200 OK
2. Request created for Student B only
3. Student A remains untouched</t>
  </si>
  <si>
    <t>1. Mixed assignment status</t>
  </si>
  <si>
    <t>Verifies the complete reporting flow—including generating, viewing, exporting, and filtering system reports—covering data accuracy, aggregation rules, role-based visibility, performance, and error handling across all report types.</t>
  </si>
  <si>
    <t>RP-001</t>
  </si>
  <si>
    <t>Test admin viewing all statistics</t>
  </si>
  <si>
    <t>1. Login as admin
2. Call GET /api/Report/statistics
3. View response</t>
  </si>
  <si>
    <t>1. Returns 200 OK
2. List of statistics
3. Each statictis has: id, title, message, type, timestamp</t>
  </si>
  <si>
    <t>1. Login as admin</t>
  </si>
  <si>
    <t>RP-002</t>
  </si>
  <si>
    <t>Test if other users except admin can view statistics</t>
  </si>
  <si>
    <t>1. Login as parent 
2. Try to access the endpoint</t>
  </si>
  <si>
    <t>1. Return 403 forbidden
2. Message: you're not allowed to view statitics</t>
  </si>
  <si>
    <t>1. Login as Parent</t>
  </si>
  <si>
    <t>RP-003</t>
  </si>
  <si>
    <t>Test getting statistics with valid filter</t>
  </si>
  <si>
    <t>1. Login as admin
2. Set date range valid (2/8/2025-3/8/2025)
3. Submit and wait for response</t>
  </si>
  <si>
    <t xml:space="preserve">1. Returns 200 OK
2. Only statistics during that period returned
</t>
  </si>
  <si>
    <t xml:space="preserve">1. Login as admin    </t>
  </si>
  <si>
    <t>RP-004</t>
  </si>
  <si>
    <t xml:space="preserve">Test getting statistics with invalid filter   </t>
  </si>
  <si>
    <t>1. Login as parent
2. Submit invalid date range (2/8/2025-1/8/2025)
3. Submit and wait for response</t>
  </si>
  <si>
    <t>1. Returns 400 Badrequest
2. Error message: invalid range, from must be &lt; than to</t>
  </si>
  <si>
    <t>RP-005</t>
  </si>
  <si>
    <t xml:space="preserve">Test downloading statistics with valid format  </t>
  </si>
  <si>
    <t>1. Login as parent
2. Download statistics
3. Choose excel format</t>
  </si>
  <si>
    <t>1. Returns 200 Success
2. Message: statistics generated successfully</t>
  </si>
  <si>
    <t>View revenues</t>
  </si>
  <si>
    <t>RP-006</t>
  </si>
  <si>
    <t>Test admin can view revenues</t>
  </si>
  <si>
    <t>1. Login as admin
2. Call GET /api/Report/revenues
3. View response</t>
  </si>
  <si>
    <t>1. Returns 200 OK
2. list of revenues
3. Each revenue has field: id, title, message, type, status, timestamp</t>
  </si>
  <si>
    <t>RP-007</t>
  </si>
  <si>
    <t>Test if other users except admin can view revenues</t>
  </si>
  <si>
    <t>1. Return 403 forbidden
2. Message: you're not allowed to view revenues</t>
  </si>
  <si>
    <t>RP-008</t>
  </si>
  <si>
    <t>Test get revenues with valid filter</t>
  </si>
  <si>
    <t>1. Login as admin
2. Set date range valie (2/8/2025-3/8/2025)
3. Submit and wait for response</t>
  </si>
  <si>
    <t xml:space="preserve">1. Returns 200 OK
2. Only revenue during that period returned
</t>
  </si>
  <si>
    <t>RP-009</t>
  </si>
  <si>
    <t xml:space="preserve">Test get revenues with invalid filter   </t>
  </si>
  <si>
    <t>RP-010</t>
  </si>
  <si>
    <t xml:space="preserve">Test downloading revenue with valid file format  </t>
  </si>
  <si>
    <t>1. Login as parent
2. Download revenue
3. Choose excel format</t>
  </si>
  <si>
    <t>1. Returns 200 Success
2. Message: revenue generated successfully</t>
  </si>
  <si>
    <t>Generate daily/monthly report</t>
  </si>
  <si>
    <t>RP-011</t>
  </si>
  <si>
    <t>Test admin can generate report daily</t>
  </si>
  <si>
    <t>1. Login as admin
2. Call GET /api/Report?interval=daily
3. View response</t>
  </si>
  <si>
    <t>1. Returns 200 OK
2. list of daily statistics</t>
  </si>
  <si>
    <t>RP-012</t>
  </si>
  <si>
    <t>Test admin can generate report monthly</t>
  </si>
  <si>
    <t xml:space="preserve"> 1. Login as admin
2. Call GET /api/Report?interval=monthly
3. View response</t>
  </si>
  <si>
    <t>1. Returns 200 OK
2. list of monthly statistics</t>
  </si>
  <si>
    <t>RP-013</t>
  </si>
  <si>
    <t>Test admin can generate report with valid filter</t>
  </si>
  <si>
    <t xml:space="preserve">1. Returns 200 OK
2. Only statistics report during that period returned
</t>
  </si>
  <si>
    <t>RP-014</t>
  </si>
  <si>
    <t>Test admin generate report with invalid filter</t>
  </si>
  <si>
    <t>RP-015</t>
  </si>
  <si>
    <t xml:space="preserve">Test generating report with valid file format  </t>
  </si>
  <si>
    <t>1. Login as parent
2. Download report
3. Choose excel format</t>
  </si>
  <si>
    <t>1. Returns 200 Success
2. Message: report generated successfully</t>
  </si>
  <si>
    <t>RP-016</t>
  </si>
  <si>
    <t>Driver can create report with valid data</t>
  </si>
  <si>
    <t>1. Login as driver
2. Call POST /api/Report/Incident
3. View response</t>
  </si>
  <si>
    <t>1. Returns 201 OK
2. Message: report created successfully</t>
  </si>
  <si>
    <t>1. Login as Driver</t>
  </si>
  <si>
    <t>RP-017</t>
  </si>
  <si>
    <t>Prevent others except driver create report</t>
  </si>
  <si>
    <t xml:space="preserve"> 1. Login as admin
2. Call POST /api/Report/Incident
3. View response</t>
  </si>
  <si>
    <t>1. Returns 403 Forbidden
2. Error message: Only driver can create report</t>
  </si>
  <si>
    <t>1. Login as Admin</t>
  </si>
  <si>
    <t>RP-018</t>
  </si>
  <si>
    <t>Test driver cannot report incident for invalid trip</t>
  </si>
  <si>
    <t>1. Login as driver
2. Call POST /api/Report/Incident with invalid trip id
3. Submit and wait for response</t>
  </si>
  <si>
    <t xml:space="preserve">1. Returns 400 BadRequest
2. Only in progress trip can be reported
</t>
  </si>
  <si>
    <t>1. Login as driver</t>
  </si>
  <si>
    <t>RP-019</t>
  </si>
  <si>
    <t>Test driver cannot report incident with invalid reason</t>
  </si>
  <si>
    <t>1. Login as driverr
2. Submit incident report with invalid reason
3. Submit and wait for response</t>
  </si>
  <si>
    <t>1. Returns 400 Badrequest
2. Error message: reason invalid please try another reason</t>
  </si>
  <si>
    <t>RP-020</t>
  </si>
  <si>
    <t>Test driver cannot report too many incidents during trip</t>
  </si>
  <si>
    <t>1. Login as driver
2. Spam reporting too many incidents during trip
3. view response</t>
  </si>
  <si>
    <t>1. Returns 400 Badrequest
2. Error: Too many requests during short time</t>
  </si>
  <si>
    <t>Verifies the complete flow for managing pickup and drop-off addresses—including creating, editing, mapping, assigning, and deactivating addresses—covering geolocation validation, dependency checks, integration with routing and scheduling, and role-based permissions.</t>
  </si>
  <si>
    <t>PD-001</t>
  </si>
  <si>
    <t>Test if parent can update addresses of their students</t>
  </si>
  <si>
    <t>1. Login as parent
2. Call PUT /api/Addresses/Pickuppoint with valid
data and valid student id
3. View response</t>
  </si>
  <si>
    <t>1. Returns 200 OK
2. parent update successfully pickuppoint</t>
  </si>
  <si>
    <t>PD-002</t>
  </si>
  <si>
    <t>Test if parent can update dropoff addresses of their students</t>
  </si>
  <si>
    <t>1. Login as parent
2. Call PUT /api/Addresses/DropoffPoint with valid
data and valid student id
3. View response</t>
  </si>
  <si>
    <t>1. Returns 200 OK
2. parent update successfully dropoffpoint</t>
  </si>
  <si>
    <t>PD-003</t>
  </si>
  <si>
    <t>Test if parent cannot update pickup addresses of their students
with invalid data</t>
  </si>
  <si>
    <t>1. Login as parent
2. Call PUT /api/Addresses/DropoffPoint with invalid
data 
3. View response</t>
  </si>
  <si>
    <t xml:space="preserve">1. Returns 400 BadRequest
2. Message: Only address with valid long lat can bi updated
</t>
  </si>
  <si>
    <t>PD-004</t>
  </si>
  <si>
    <t>Test if parent cannot update pickup addresses of their students
with invalid studentID</t>
  </si>
  <si>
    <t>1. Login as parent
2. Call PUT /api/Addresses/DropoffPoint with invalid Student ID
3. View response</t>
  </si>
  <si>
    <t>1. Returns 400 Badrequest
2. Error message: student doesnot exist or not your child</t>
  </si>
  <si>
    <t>PD-005</t>
  </si>
  <si>
    <t>Test if other users cannot update pickup addresses of students</t>
  </si>
  <si>
    <t xml:space="preserve">1. Login as Driver
2. Call PUT /api/Addresses/DropoffPoint with valid Student ID
3. View response
</t>
  </si>
  <si>
    <t>1. Returns 403 Unauthorized
2. Message: You're not allowed to manage this students addresses</t>
  </si>
  <si>
    <t>Send relocation request</t>
  </si>
  <si>
    <t>PD-006</t>
  </si>
  <si>
    <t>Test if parent can send relocation of their students</t>
  </si>
  <si>
    <t>1. Login as parent
2. Call POST /api/RelocationRequests/ with valid data
3. View response</t>
  </si>
  <si>
    <t>1. Returns 200 OK
2. Message relocation request submited successfully</t>
  </si>
  <si>
    <t>1. Login as parent</t>
  </si>
  <si>
    <t>PD-007</t>
  </si>
  <si>
    <t>Test if parent cannot send relocation request for other students not their children</t>
  </si>
  <si>
    <t>1. Login as parent 
2. Call POST /api/RelocationRequests/ with student id not their child
3. View response</t>
  </si>
  <si>
    <t>1. Return 403 forbidden
2. Message: you're not allowed to rearrange this student pickupppoint</t>
  </si>
  <si>
    <t>PD-008</t>
  </si>
  <si>
    <t>Test if parent cannot send relocation request for other students without valid reason</t>
  </si>
  <si>
    <t>1. Login as parent 
2. Call POST /api/RelocationRequests/ with invalid reason
3. View response</t>
  </si>
  <si>
    <t xml:space="preserve">1. Returns 400 badrequest
2. Message: You're not allowed to send relocation request with invalid reason
</t>
  </si>
  <si>
    <t>PD-009</t>
  </si>
  <si>
    <t xml:space="preserve">Test if driver cannot send relocation request for students </t>
  </si>
  <si>
    <t>1. Login as driver
2. Call POST /api/RelocationRequests/
3. View response</t>
  </si>
  <si>
    <t>PD-010</t>
  </si>
  <si>
    <t>Test if parent cannot send relocation request for other students without valid status</t>
  </si>
  <si>
    <t>1. Login as parent 
2. Call POST /api/RelocationRequests/ with invalid status
3. View response</t>
  </si>
  <si>
    <t xml:space="preserve">1. Returns 400 badrequest
2. Message: You're not allowed to send relocation request with this status
</t>
  </si>
  <si>
    <t>Verifies the complete flow for monitoring real-time and historical vehicle status—including location tracking, operational state, health/maintenance indicators, and integration with trips and schedules—covering data accuracy, live updates, alerts, and role-based visibility.</t>
  </si>
  <si>
    <t>MON-001</t>
  </si>
  <si>
    <t>Test parent getting current vehicle location for active trip</t>
  </si>
  <si>
    <t>1. Login as parent
2. Trip status = InProgress
3. Call GET /api/trip/parent/{tripId}/location
4. Verify response</t>
  </si>
  <si>
    <t>1. Returns 200 OK
2. JSON contains: latitude, longitude, speed, accuracy, isMoving, recordedAt
3. Coordinates match latest update</t>
  </si>
  <si>
    <t>1. Parent has child on trip
2. Trip InProgress
3. Location updated recently</t>
  </si>
  <si>
    <t>MON-002</t>
  </si>
  <si>
    <t>Test parent tracking trip that hasn't started</t>
  </si>
  <si>
    <t>1. Login as parent
2. Trip status = Scheduled
3. Call GET /api/trip/parent/{tripId}/location</t>
  </si>
  <si>
    <t>1. Returns 404 Not Found or null location
2. Message "Location not available"
3. No coordinates returned</t>
  </si>
  <si>
    <t>1. Trip Scheduled
2. No location updates yet</t>
  </si>
  <si>
    <t>MON-003</t>
  </si>
  <si>
    <t>Test parent tracking completed trip</t>
  </si>
  <si>
    <t>1. Login as parent
2. Trip status = Completed
3. Call GET /api/trip/parent/{tripId}/location</t>
  </si>
  <si>
    <t>1. Returns last known location or 404
2. If returned, timestamp should be from trip end time</t>
  </si>
  <si>
    <t>1. Trip Completed</t>
  </si>
  <si>
    <t>MON-004</t>
  </si>
  <si>
    <t>Test parent accessing location for unauthorized trip</t>
  </si>
  <si>
    <t>1. Login as parent A
2. Try to get location for trip of parent B's child
3. Call GET /api/trip/parent/{tripId}/location</t>
  </si>
  <si>
    <t>1. Returns 404 Not Found
2. Error "Trip not found or you don't have access"
3. Location data protected</t>
  </si>
  <si>
    <t>1. Trip exists but not for parent A</t>
  </si>
  <si>
    <t>MON-005</t>
  </si>
  <si>
    <t>Test location data freshness (polling)</t>
  </si>
  <si>
    <t>1. Driver updates location at T1
2. Parent polls at T1+2s -&gt; gets Loc1
3. Driver updates location at T2
4. Parent polls at T2+2s -&gt; gets Loc2</t>
  </si>
  <si>
    <t>1. Parent receives updated coordinates
2. Timestamp updates
3. Movement reflected on map</t>
  </si>
  <si>
    <t>1. Active trip
2. Driver updating location</t>
  </si>
  <si>
    <t>ADMIN_TRACING</t>
  </si>
  <si>
    <t>MON-006</t>
  </si>
  <si>
    <t>Test admin viewing current location of any active trip</t>
  </si>
  <si>
    <t>1. Trip detail includes 
CurrentLocation
 object
2. Shows lat, long, last updated
3. Admin can see location of any vehicle</t>
  </si>
  <si>
    <t>1. Active trip with location data</t>
  </si>
  <si>
    <t>MON-007</t>
  </si>
  <si>
    <t>Test admin viewing trip history (Gap Analysis)</t>
  </si>
  <si>
    <t>1. Login as admin
2. Look for "Route Playback" or "History" endpoint
3. Attempt to retrieve path</t>
  </si>
  <si>
    <t>1. Pending Implementation: No API endpoint found to retrieve trip_location_history
2. Feature "Trace all vehicle trips" requires this API</t>
  </si>
  <si>
    <t>1. Completed trip with history</t>
  </si>
  <si>
    <t>MON-008</t>
  </si>
  <si>
    <t>Test admin monitoring multiple active trips</t>
  </si>
  <si>
    <t>1. Login as admin
2. Call GET /api/trip?status=InProgress
3. Check location data in list</t>
  </si>
  <si>
    <t>1. List returns active trips
2. Each trip should include current location (check DTO)
3. Allows map overview of fleet</t>
  </si>
  <si>
    <t>1. Multiple active trips</t>
  </si>
  <si>
    <t>LOCATION_RECORDING</t>
  </si>
  <si>
    <t>MON-009</t>
  </si>
  <si>
    <t>Test driver updating vehicle location</t>
  </si>
  <si>
    <t>1. Login as driver
2. Trip InProgress
3. Call POST /api/trip/{tripId}/location
4. Body: {lat, long, speed, accuracy, isMoving}
5. Submit</t>
  </si>
  <si>
    <t>1. Returns 200 OK
2. Message "Location updated successfully"
3. UpdatedAt timestamp returned</t>
  </si>
  <si>
    <t>1. Driver assigned to trip
2. Trip InProgress</t>
  </si>
  <si>
    <t>MON-010</t>
  </si>
  <si>
    <t>Test location update saves to history (Backend Verification)</t>
  </si>
  <si>
    <t>1. Driver updates location
2. Check database collection trip_location_history
3. Verify new record</t>
  </si>
  <si>
    <t>1. New document created in trip_location_history
2. Contains tripId, location object, timestamp
3. History preserved for tracing</t>
  </si>
  <si>
    <t>1. Database access for verification</t>
  </si>
  <si>
    <t>MON-011</t>
  </si>
  <si>
    <t>Test location update updates current trip state</t>
  </si>
  <si>
    <t>1. Driver updates location
2. Check trips collection document
3. Verify 
CurrentLocation
 field</t>
  </si>
  <si>
    <t>1. 
CurrentLocation
 field updated in Trip document
2. Matches latest coordinates
3. Used for real-time view</t>
  </si>
  <si>
    <t>1. Trip document exists</t>
  </si>
  <si>
    <t>MON-012</t>
  </si>
  <si>
    <t>Test admin updating location (on behalf of driver)</t>
  </si>
  <si>
    <t>1. Login as admin
2. Call POST /api/trip/{tripId}/location
3. Submit coordinates</t>
  </si>
  <si>
    <t>1. Returns 200 OK
2. Location updated
3. Admin has override capability</t>
  </si>
  <si>
    <t>Verifies the complete notification flow—including triggering, sending, receiving, viewing, and managing notifications across all user roles—covering event accuracy, delivery channels, timing, permissions, and error handling.</t>
  </si>
  <si>
    <t>NOT-001</t>
  </si>
  <si>
    <t>Test parent viewing all notifications</t>
  </si>
  <si>
    <t>1. Login as parent
2. Call GET /api/notification?page=1&amp;pageSize=20
3. View response</t>
  </si>
  <si>
    <t>1. Returns 200 OK
2. List of notifications (max 20)
3. Sorted by timestamp (newest first)
4. Each notification has: id, title, message, type, status, timestamp</t>
  </si>
  <si>
    <t>1. Parent has notifications</t>
  </si>
  <si>
    <t>NOT-002</t>
  </si>
  <si>
    <t>Test parent viewing notifications with pagination</t>
  </si>
  <si>
    <t>1. Login as parent with 50 notifications
2. Call GET /api/notification?page=1&amp;pageSize=10
3. Call GET /api/notification?page=2&amp;pageSize=10</t>
  </si>
  <si>
    <t>1. Page 1 returns 10 notifications
2. Page 2 returns next 10 notifications
3. No duplicates between pages</t>
  </si>
  <si>
    <t>1. Parent has 50+ notifications</t>
  </si>
  <si>
    <t>NOT-003</t>
  </si>
  <si>
    <t>Test parent getting unread count</t>
  </si>
  <si>
    <t>1. Login as parent
2. Call GET /api/notification/unread-count
3. Check response</t>
  </si>
  <si>
    <t>1. Returns 200 OK
2. Integer count of unread notifications
3. Count matches actual unread notifications</t>
  </si>
  <si>
    <t xml:space="preserve">1. Parent has mix of read/unread	</t>
  </si>
  <si>
    <t>NOT-004</t>
  </si>
  <si>
    <t>1. Login as parent
2. Call GET /api/notification/{id}
3. View details</t>
  </si>
  <si>
    <t>1. Returns 200 OK
2. Full notification details including metadata
3. Shows: title, message, type, priority, actionUrl, relatedEntityId</t>
  </si>
  <si>
    <t>1. Notification exists</t>
  </si>
  <si>
    <t>NOT-005</t>
  </si>
  <si>
    <t>Test parent accessing other parent's notification</t>
  </si>
  <si>
    <t>1. Login as Parent A
2. Try GET /api/notification/{parentB_notificationId}
3. Submit</t>
  </si>
  <si>
    <t>1. Returns 404 Not Found or 403 Forbidden
2. Error message "Notification not found"
3. Security enforced</t>
  </si>
  <si>
    <t>1. Two parents with separate notifications</t>
  </si>
  <si>
    <t>DRIVER_NOTIFICATIONS</t>
  </si>
  <si>
    <t>NOT-006</t>
  </si>
  <si>
    <t>Test driver viewing all notifications</t>
  </si>
  <si>
    <t>1. Login as driver
2. Call GET /api/notification?page=1&amp;pageSize=20
3. View response</t>
  </si>
  <si>
    <t>1. Returns 200 OK
2. List of driver's notifications
3. Sorted by timestamp (newest first)
4. Contains driver-specific types</t>
  </si>
  <si>
    <t xml:space="preserve">1. Driver has notifications	</t>
  </si>
  <si>
    <t>NOT-007</t>
  </si>
  <si>
    <t>Test driver viewing notifications with pagination</t>
  </si>
  <si>
    <t>1. Login as driver with 30 notifications
2. Call GET /api/notification?page=1&amp;pageSize=15
3. Call GET /api/notification?page=2&amp;pageSize=15</t>
  </si>
  <si>
    <t>1. Page 1 returns 15 notifications
2. Page 2 returns remaining 15
3. Proper pagination</t>
  </si>
  <si>
    <t>1. Driver has 30+ notifications</t>
  </si>
  <si>
    <t>NOT-008</t>
  </si>
  <si>
    <t>Test driver getting unread count</t>
  </si>
  <si>
    <t>1. Login as driver
2. Call GET /api/notification/unread-count
3. Check count</t>
  </si>
  <si>
    <t>1. Returns 200 OK
2. Correct unread count
3. Updates when notifications marked read</t>
  </si>
  <si>
    <t>1. Driver has unread notifications</t>
  </si>
  <si>
    <t>NOT-009</t>
  </si>
  <si>
    <t>Test notification types for driver</t>
  </si>
  <si>
    <t>1. Create driver-specific notifications
2. Driver views list
3. Check types</t>
  </si>
  <si>
    <t>1. Driver receives: TripInfo, ScheduleChange, LeaveApproval, System
2. Each type relevant to driver role
3. No parent-specific types shown</t>
  </si>
  <si>
    <t>1. Various driver notification types</t>
  </si>
  <si>
    <t>NOT-010</t>
  </si>
  <si>
    <t>Test driver viewing trip-related notifications</t>
  </si>
  <si>
    <t>1. Trip assigned to driver
2. Notification created for trip start
3. Driver views notifications</t>
  </si>
  <si>
    <t>1. Notification includes trip details in metadata
2. ActionUrl links to trip detail
3. RelatedEntityType = "Trip"</t>
  </si>
  <si>
    <t xml:space="preserve">1. Driver assigned to trip	</t>
  </si>
  <si>
    <t>NOT-011</t>
  </si>
  <si>
    <t>Test driver viewing leave request notifications</t>
  </si>
  <si>
    <t>1. Driver submits leave request
2. Admin approves/rejects
3. Driver views notifications</t>
  </si>
  <si>
    <t>1. Notification about leave status
2. Type = LeaveApproval
3. Metadata includes leave details</t>
  </si>
  <si>
    <t>1. Leave request processed</t>
  </si>
  <si>
    <t>NOT-012</t>
  </si>
  <si>
    <t>Test driver accessing other driver's notification</t>
  </si>
  <si>
    <t>1. Login as Driver A
2. Try to access Driver B's notification
3. Submit</t>
  </si>
  <si>
    <t>1. Returns 404 Not Found
2. Access denied
3. Security enforced</t>
  </si>
  <si>
    <t>The Audit Logs feature records all critical system activities performed by users across the platform. It maintains a complete history of actions such as logins, data modifications, configuration changes, and administrative operations. Administrators can view, search, and filter logs to monitor user behavior, ensure compliance, and support security investigations. The feature also supports exporting logs for reporting or archival purposes.</t>
  </si>
  <si>
    <t>AU-001</t>
  </si>
  <si>
    <t>Test admin viewing all logs</t>
  </si>
  <si>
    <t>1. Login as admin
2. Call GET /api/AuditLogs
3. View response</t>
  </si>
  <si>
    <t>1. Returns 200 OK
2. List of logs (max 20)
3. Each log has: id, title, message, type, status, timestamp</t>
  </si>
  <si>
    <t>AU-002</t>
  </si>
  <si>
    <t>Test if other users except admin can view audit log</t>
  </si>
  <si>
    <t>1. Return 403 forbidden
2. Message: you're not allowed to view sys logs</t>
  </si>
  <si>
    <t>AU-003</t>
  </si>
  <si>
    <t>Test getting logs with valid filter</t>
  </si>
  <si>
    <t xml:space="preserve">1. Returns 200 OK
2. Only system logs during that period returned
</t>
  </si>
  <si>
    <t>AU-004</t>
  </si>
  <si>
    <t xml:space="preserve">Test getting logs with invalid filter   </t>
  </si>
  <si>
    <t>AU-005</t>
  </si>
  <si>
    <t>Test admin can export logs</t>
  </si>
  <si>
    <t>1. Login as admin
2. Call GET /api/AuditLogs/export
3. View response</t>
  </si>
  <si>
    <t>1. Returns 200 OK
2. logs file
3. Each log file has columns: id, title, message, type, status, timestamp</t>
  </si>
  <si>
    <t>AU-006</t>
  </si>
  <si>
    <t>1. Return 403 forbidden
2. Message: you're not allowed to export sys logs</t>
  </si>
  <si>
    <t>AU-007</t>
  </si>
  <si>
    <t>Test exporting logs with valid filter</t>
  </si>
  <si>
    <t>AU-008</t>
  </si>
  <si>
    <t xml:space="preserve">Test exporting logs with invalid filter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</si>
</sst>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mmm\-yy"/>
    <numFmt numFmtId="166" formatCode="dd/mm/yyyy"/>
  </numFmts>
  <fonts count="25">
    <font>
      <sz val="11.0"/>
      <color rgb="FF000000"/>
      <name val="MS PGothic"/>
      <scheme val="minor"/>
    </font>
    <font>
      <sz val="10.0"/>
      <color theme="1"/>
      <name val="Tahoma"/>
    </font>
    <font>
      <b/>
      <sz val="26.0"/>
      <color rgb="FFFF0000"/>
      <name val="Tahoma"/>
    </font>
    <font>
      <b/>
      <sz val="20.0"/>
      <color rgb="FF000000"/>
      <name val="Tahoma"/>
    </font>
    <font/>
    <font>
      <b/>
      <sz val="10.0"/>
      <color rgb="FF993300"/>
      <name val="Tahoma"/>
    </font>
    <font>
      <i/>
      <sz val="10.0"/>
      <color rgb="FF008000"/>
      <name val="Tahoma"/>
    </font>
    <font>
      <b/>
      <sz val="10.0"/>
      <color theme="1"/>
      <name val="Tahoma"/>
    </font>
    <font>
      <i/>
      <sz val="10.0"/>
      <color theme="1"/>
      <name val="Tahoma"/>
    </font>
    <font>
      <b/>
      <sz val="10.0"/>
      <color rgb="FFFFFFFF"/>
      <name val="Tahoma"/>
    </font>
    <font>
      <b/>
      <sz val="10.0"/>
      <color rgb="FF000000"/>
      <name val="Tahoma"/>
    </font>
    <font>
      <b/>
      <sz val="10.0"/>
      <color rgb="FFFF0000"/>
      <name val="Tahoma"/>
    </font>
    <font>
      <i/>
      <sz val="9.0"/>
      <color rgb="FF000000"/>
      <name val="Google Sans Mono"/>
    </font>
    <font>
      <i/>
      <sz val="10.0"/>
      <color rgb="FF000000"/>
      <name val="Tahoma"/>
    </font>
    <font>
      <u/>
      <sz val="11.0"/>
      <color rgb="FF0000FF"/>
      <name val="MS PGothic"/>
    </font>
    <font>
      <sz val="10.0"/>
      <color rgb="FFFFFFFF"/>
      <name val="Tahoma"/>
    </font>
    <font>
      <b/>
      <sz val="10.0"/>
      <color rgb="FF0000FF"/>
      <name val="Tahoma"/>
    </font>
    <font>
      <sz val="10.0"/>
      <color rgb="FF000000"/>
      <name val="Tahoma"/>
    </font>
    <font>
      <sz val="10.0"/>
      <color rgb="FFFF0000"/>
      <name val="Tahoma"/>
    </font>
    <font>
      <b/>
      <i/>
      <sz val="10.0"/>
      <color theme="1"/>
      <name val="Tahoma"/>
    </font>
    <font>
      <color theme="1"/>
      <name val="Tahoma"/>
    </font>
    <font>
      <sz val="11.0"/>
      <color rgb="FF000000"/>
      <name val="Tahoma"/>
    </font>
    <font>
      <b/>
      <color theme="1"/>
      <name val="Tahoma"/>
    </font>
    <font>
      <sz val="11.0"/>
      <color theme="1"/>
      <name val="MS PGothic"/>
    </font>
    <font>
      <color theme="1"/>
      <name val="Times New Roman"/>
    </font>
  </fonts>
  <fills count="7">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s>
  <borders count="2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right/>
      <top style="thin">
        <color rgb="FF000000"/>
      </top>
      <bottom style="thin">
        <color rgb="FF000000"/>
      </bottom>
    </border>
    <border>
      <left/>
      <right/>
      <top/>
    </border>
    <border>
      <left/>
      <top/>
      <bottom/>
    </border>
    <border>
      <right/>
      <top/>
      <bottom/>
    </border>
    <border>
      <top/>
      <bottom/>
    </border>
    <border>
      <left/>
      <right style="thin">
        <color rgb="FF000000"/>
      </right>
      <top style="thin">
        <color rgb="FF000000"/>
      </top>
      <bottom style="thin">
        <color rgb="FF000000"/>
      </bottom>
    </border>
    <border>
      <left/>
      <right/>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s>
  <cellStyleXfs count="1">
    <xf borderId="0" fillId="0" fontId="0" numFmtId="0" applyAlignment="1" applyFont="1"/>
  </cellStyleXfs>
  <cellXfs count="172">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Font="1"/>
    <xf borderId="1" fillId="0" fontId="2" numFmtId="0" xfId="0" applyAlignment="1" applyBorder="1" applyFont="1">
      <alignment horizontal="center" vertic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0" fillId="0" fontId="1" numFmtId="0" xfId="0" applyAlignment="1" applyFont="1">
      <alignment horizontal="center" vertical="center"/>
    </xf>
    <xf borderId="4" fillId="2" fontId="5" numFmtId="0" xfId="0" applyAlignment="1" applyBorder="1" applyFill="1" applyFont="1">
      <alignment horizontal="left"/>
    </xf>
    <xf borderId="0" fillId="0" fontId="6" numFmtId="0" xfId="0" applyAlignment="1" applyFont="1">
      <alignment horizontal="left"/>
    </xf>
    <xf borderId="4" fillId="2" fontId="1" numFmtId="0" xfId="0" applyBorder="1" applyFont="1"/>
    <xf borderId="5" fillId="2" fontId="7" numFmtId="0" xfId="0" applyAlignment="1" applyBorder="1" applyFont="1">
      <alignment horizontal="left"/>
    </xf>
    <xf borderId="1" fillId="0" fontId="8" numFmtId="0" xfId="0" applyAlignment="1" applyBorder="1" applyFont="1">
      <alignment horizontal="left" readingOrder="0"/>
    </xf>
    <xf borderId="3" fillId="0" fontId="1" numFmtId="0" xfId="0" applyAlignment="1" applyBorder="1" applyFont="1">
      <alignment readingOrder="0"/>
    </xf>
    <xf borderId="3" fillId="0" fontId="8" numFmtId="164" xfId="0" applyAlignment="1" applyBorder="1" applyFont="1" applyNumberFormat="1">
      <alignment horizontal="left" readingOrder="0"/>
    </xf>
    <xf borderId="5" fillId="2" fontId="7" numFmtId="0" xfId="0" applyAlignment="1" applyBorder="1" applyFont="1">
      <alignment vertical="center"/>
    </xf>
    <xf borderId="1" fillId="0" fontId="8" numFmtId="0" xfId="0" applyAlignment="1" applyBorder="1" applyFont="1">
      <alignment horizontal="left" vertical="center"/>
    </xf>
    <xf borderId="3" fillId="0" fontId="8" numFmtId="0" xfId="0" applyAlignment="1" applyBorder="1" applyFont="1">
      <alignment horizontal="left"/>
    </xf>
    <xf borderId="0" fillId="0" fontId="7" numFmtId="0" xfId="0" applyFont="1"/>
    <xf borderId="0" fillId="0" fontId="5" numFmtId="0" xfId="0" applyAlignment="1" applyFont="1">
      <alignment horizontal="left"/>
    </xf>
    <xf borderId="0" fillId="0" fontId="7" numFmtId="0" xfId="0" applyAlignment="1" applyFont="1">
      <alignment horizontal="left"/>
    </xf>
    <xf borderId="5" fillId="3" fontId="9" numFmtId="165" xfId="0" applyAlignment="1" applyBorder="1" applyFill="1" applyFont="1" applyNumberFormat="1">
      <alignment horizontal="center" vertical="center"/>
    </xf>
    <xf borderId="5" fillId="3" fontId="9" numFmtId="0" xfId="0" applyAlignment="1" applyBorder="1" applyFont="1">
      <alignment horizontal="center" vertical="center"/>
    </xf>
    <xf borderId="0" fillId="0" fontId="1" numFmtId="0" xfId="0" applyAlignment="1" applyFont="1">
      <alignment vertical="center"/>
    </xf>
    <xf borderId="5" fillId="0" fontId="8" numFmtId="164" xfId="0" applyAlignment="1" applyBorder="1" applyFont="1" applyNumberFormat="1">
      <alignment horizontal="left" readingOrder="0"/>
    </xf>
    <xf borderId="5" fillId="0" fontId="1" numFmtId="49" xfId="0" applyAlignment="1" applyBorder="1" applyFont="1" applyNumberFormat="1">
      <alignment readingOrder="0" vertical="top"/>
    </xf>
    <xf borderId="5" fillId="0" fontId="1" numFmtId="0" xfId="0" applyAlignment="1" applyBorder="1" applyFont="1">
      <alignment readingOrder="0" vertical="top"/>
    </xf>
    <xf borderId="5" fillId="0" fontId="8" numFmtId="0" xfId="0" applyAlignment="1" applyBorder="1" applyFont="1">
      <alignment shrinkToFit="0" vertical="top" wrapText="1"/>
    </xf>
    <xf borderId="0" fillId="0" fontId="1" numFmtId="0" xfId="0" applyAlignment="1" applyFont="1">
      <alignment vertical="top"/>
    </xf>
    <xf borderId="5" fillId="0" fontId="1" numFmtId="0" xfId="0" applyAlignment="1" applyBorder="1" applyFont="1">
      <alignment vertical="top"/>
    </xf>
    <xf borderId="5" fillId="0" fontId="1" numFmtId="165" xfId="0" applyAlignment="1" applyBorder="1" applyFont="1" applyNumberFormat="1">
      <alignment vertical="top"/>
    </xf>
    <xf borderId="5" fillId="0" fontId="1" numFmtId="49" xfId="0" applyAlignment="1" applyBorder="1" applyFont="1" applyNumberFormat="1">
      <alignment vertical="top"/>
    </xf>
    <xf borderId="4" fillId="2" fontId="1" numFmtId="1" xfId="0" applyBorder="1" applyFont="1" applyNumberFormat="1"/>
    <xf borderId="4" fillId="2" fontId="1" numFmtId="0" xfId="0" applyAlignment="1" applyBorder="1" applyFont="1">
      <alignment horizontal="left"/>
    </xf>
    <xf borderId="4" fillId="2" fontId="3" numFmtId="0" xfId="0" applyAlignment="1" applyBorder="1" applyFont="1">
      <alignment horizontal="left"/>
    </xf>
    <xf borderId="4" fillId="2" fontId="10" numFmtId="0" xfId="0" applyAlignment="1" applyBorder="1" applyFont="1">
      <alignment horizontal="left"/>
    </xf>
    <xf borderId="4" fillId="2" fontId="11" numFmtId="0" xfId="0" applyAlignment="1" applyBorder="1" applyFont="1">
      <alignment horizontal="left"/>
    </xf>
    <xf borderId="1" fillId="2" fontId="5" numFmtId="1" xfId="0" applyBorder="1" applyFont="1" applyNumberFormat="1"/>
    <xf borderId="6" fillId="0" fontId="4" numFmtId="0" xfId="0" applyBorder="1" applyFont="1"/>
    <xf borderId="1" fillId="2" fontId="12" numFmtId="0" xfId="0" applyAlignment="1" applyBorder="1" applyFont="1">
      <alignment horizontal="left" readingOrder="0"/>
    </xf>
    <xf borderId="4" fillId="2" fontId="1" numFmtId="0" xfId="0" applyAlignment="1" applyBorder="1" applyFont="1">
      <alignment shrinkToFit="0" wrapText="1"/>
    </xf>
    <xf borderId="1" fillId="2" fontId="5" numFmtId="1" xfId="0" applyAlignment="1" applyBorder="1" applyFont="1" applyNumberFormat="1">
      <alignment shrinkToFit="0" vertical="center" wrapText="1"/>
    </xf>
    <xf borderId="1" fillId="2" fontId="13" numFmtId="0" xfId="0" applyAlignment="1" applyBorder="1" applyFont="1">
      <alignment readingOrder="0" shrinkToFit="0" vertical="top" wrapText="1"/>
    </xf>
    <xf borderId="4" fillId="2" fontId="5" numFmtId="1" xfId="0" applyBorder="1" applyFont="1" applyNumberFormat="1"/>
    <xf borderId="4" fillId="2" fontId="1" numFmtId="0" xfId="0" applyAlignment="1" applyBorder="1" applyFont="1">
      <alignment vertical="center"/>
    </xf>
    <xf borderId="7" fillId="2" fontId="1" numFmtId="1" xfId="0" applyAlignment="1" applyBorder="1" applyFont="1" applyNumberFormat="1">
      <alignment vertical="center"/>
    </xf>
    <xf borderId="7" fillId="2" fontId="1" numFmtId="0" xfId="0" applyAlignment="1" applyBorder="1" applyFont="1">
      <alignment horizontal="left" vertical="center"/>
    </xf>
    <xf borderId="8" fillId="2" fontId="7" numFmtId="0" xfId="0" applyAlignment="1" applyBorder="1" applyFont="1">
      <alignment horizontal="center"/>
    </xf>
    <xf borderId="5" fillId="4" fontId="9" numFmtId="1" xfId="0" applyAlignment="1" applyBorder="1" applyFill="1" applyFont="1" applyNumberFormat="1">
      <alignment horizontal="center" vertical="center"/>
    </xf>
    <xf borderId="5" fillId="4" fontId="9" numFmtId="0" xfId="0" applyAlignment="1" applyBorder="1" applyFont="1">
      <alignment horizontal="center" vertical="center"/>
    </xf>
    <xf borderId="9" fillId="2" fontId="7" numFmtId="0" xfId="0" applyAlignment="1" applyBorder="1" applyFont="1">
      <alignment horizontal="center"/>
    </xf>
    <xf borderId="4" fillId="2" fontId="7" numFmtId="0" xfId="0" applyAlignment="1" applyBorder="1" applyFont="1">
      <alignment horizontal="center"/>
    </xf>
    <xf borderId="8" fillId="2" fontId="1" numFmtId="0" xfId="0" applyBorder="1" applyFont="1"/>
    <xf borderId="5" fillId="2" fontId="1" numFmtId="1" xfId="0" applyAlignment="1" applyBorder="1" applyFont="1" applyNumberFormat="1">
      <alignment vertical="center"/>
    </xf>
    <xf borderId="5" fillId="2" fontId="1" numFmtId="49" xfId="0" applyAlignment="1" applyBorder="1" applyFont="1" applyNumberFormat="1">
      <alignment horizontal="left" readingOrder="0" vertical="center"/>
    </xf>
    <xf borderId="5" fillId="2" fontId="14" numFmtId="0" xfId="0" applyAlignment="1" applyBorder="1" applyFont="1">
      <alignment horizontal="left" readingOrder="0" vertical="center"/>
    </xf>
    <xf borderId="5" fillId="2" fontId="1" numFmtId="0" xfId="0" applyAlignment="1" applyBorder="1" applyFont="1">
      <alignment horizontal="left" readingOrder="0" vertical="center"/>
    </xf>
    <xf borderId="9" fillId="2" fontId="1" numFmtId="0" xfId="0" applyBorder="1" applyFont="1"/>
    <xf borderId="8" fillId="2" fontId="3" numFmtId="0" xfId="0" applyAlignment="1" applyBorder="1" applyFont="1">
      <alignment horizontal="center"/>
    </xf>
    <xf borderId="10" fillId="0" fontId="4" numFmtId="0" xfId="0" applyBorder="1" applyFont="1"/>
    <xf borderId="9" fillId="0" fontId="4" numFmtId="0" xfId="0" applyBorder="1" applyFont="1"/>
    <xf borderId="4" fillId="2" fontId="7" numFmtId="0" xfId="0" applyBorder="1" applyFont="1"/>
    <xf borderId="4" fillId="2" fontId="1" numFmtId="165" xfId="0" applyBorder="1" applyFont="1" applyNumberFormat="1"/>
    <xf borderId="5" fillId="2" fontId="5" numFmtId="0" xfId="0" applyAlignment="1" applyBorder="1" applyFont="1">
      <alignment horizontal="left" vertical="center"/>
    </xf>
    <xf borderId="1" fillId="2" fontId="6" numFmtId="0" xfId="0" applyAlignment="1" applyBorder="1" applyFont="1">
      <alignment horizontal="left" readingOrder="0"/>
    </xf>
    <xf borderId="1" fillId="2" fontId="5" numFmtId="0" xfId="0" applyAlignment="1" applyBorder="1" applyFont="1">
      <alignment horizontal="left"/>
    </xf>
    <xf borderId="11" fillId="2" fontId="5" numFmtId="0" xfId="0" applyAlignment="1" applyBorder="1" applyFont="1">
      <alignment horizontal="left"/>
    </xf>
    <xf borderId="11" fillId="2" fontId="1" numFmtId="0" xfId="0" applyAlignment="1" applyBorder="1" applyFont="1">
      <alignment readingOrder="0" vertical="top"/>
    </xf>
    <xf borderId="11" fillId="2" fontId="1" numFmtId="0" xfId="0" applyAlignment="1" applyBorder="1" applyFont="1">
      <alignment vertical="top"/>
    </xf>
    <xf borderId="5" fillId="2" fontId="5" numFmtId="0" xfId="0" applyAlignment="1" applyBorder="1" applyFont="1">
      <alignment vertical="center"/>
    </xf>
    <xf borderId="1" fillId="2" fontId="6" numFmtId="0" xfId="0" applyAlignment="1" applyBorder="1" applyFont="1">
      <alignment horizontal="left"/>
    </xf>
    <xf borderId="11" fillId="2" fontId="6" numFmtId="164" xfId="0" applyAlignment="1" applyBorder="1" applyFont="1" applyNumberFormat="1">
      <alignment readingOrder="0" vertical="top"/>
    </xf>
    <xf borderId="1" fillId="2" fontId="6" numFmtId="0" xfId="0" applyAlignment="1" applyBorder="1" applyFont="1">
      <alignment vertical="top"/>
    </xf>
    <xf borderId="4" fillId="2" fontId="5" numFmtId="0" xfId="0" applyBorder="1" applyFont="1"/>
    <xf borderId="4" fillId="2" fontId="6" numFmtId="0" xfId="0" applyBorder="1" applyFont="1"/>
    <xf borderId="7" fillId="2" fontId="1" numFmtId="0" xfId="0" applyBorder="1" applyFont="1"/>
    <xf borderId="5" fillId="3" fontId="9" numFmtId="0" xfId="0" applyAlignment="1" applyBorder="1" applyFont="1">
      <alignment horizontal="center"/>
    </xf>
    <xf borderId="5" fillId="3" fontId="9" numFmtId="0" xfId="0" applyAlignment="1" applyBorder="1" applyFont="1">
      <alignment horizontal="center" shrinkToFit="0" wrapText="1"/>
    </xf>
    <xf borderId="5" fillId="2" fontId="1" numFmtId="0" xfId="0" applyAlignment="1" applyBorder="1" applyFont="1">
      <alignment horizontal="center"/>
    </xf>
    <xf borderId="5" fillId="2" fontId="1" numFmtId="0" xfId="0" applyBorder="1" applyFont="1"/>
    <xf borderId="5" fillId="2" fontId="1" numFmtId="0" xfId="0" applyAlignment="1" applyBorder="1" applyFont="1">
      <alignment horizontal="center" readingOrder="0"/>
    </xf>
    <xf borderId="5" fillId="3" fontId="15" numFmtId="0" xfId="0" applyAlignment="1" applyBorder="1" applyFont="1">
      <alignment horizontal="center"/>
    </xf>
    <xf borderId="5" fillId="3" fontId="9" numFmtId="0" xfId="0" applyBorder="1" applyFont="1"/>
    <xf borderId="12" fillId="2" fontId="1" numFmtId="0" xfId="0" applyAlignment="1" applyBorder="1" applyFont="1">
      <alignment horizontal="center"/>
    </xf>
    <xf borderId="12" fillId="2" fontId="1" numFmtId="0" xfId="0" applyBorder="1" applyFont="1"/>
    <xf borderId="12" fillId="2" fontId="1" numFmtId="10" xfId="0" applyAlignment="1" applyBorder="1" applyFont="1" applyNumberFormat="1">
      <alignment horizontal="center"/>
    </xf>
    <xf borderId="12" fillId="2" fontId="1" numFmtId="9" xfId="0" applyAlignment="1" applyBorder="1" applyFont="1" applyNumberFormat="1">
      <alignment horizontal="center"/>
    </xf>
    <xf borderId="4" fillId="2" fontId="16" numFmtId="2" xfId="0" applyAlignment="1" applyBorder="1" applyFont="1" applyNumberFormat="1">
      <alignment horizontal="right" shrinkToFit="0" wrapText="1"/>
    </xf>
    <xf borderId="4" fillId="2" fontId="17" numFmtId="0" xfId="0" applyAlignment="1" applyBorder="1" applyFont="1">
      <alignment horizontal="center" shrinkToFit="0" wrapText="1"/>
    </xf>
    <xf borderId="4" fillId="2" fontId="18" numFmtId="0" xfId="0" applyBorder="1" applyFont="1"/>
    <xf borderId="13" fillId="2" fontId="7" numFmtId="0" xfId="0" applyAlignment="1" applyBorder="1" applyFont="1">
      <alignment horizontal="center" shrinkToFit="0" vertical="top" wrapText="1"/>
    </xf>
    <xf borderId="14" fillId="2" fontId="1" numFmtId="0" xfId="0" applyAlignment="1" applyBorder="1" applyFont="1">
      <alignment horizontal="left" readingOrder="0" shrinkToFit="0" vertical="top" wrapText="1"/>
    </xf>
    <xf borderId="15" fillId="0" fontId="4" numFmtId="0" xfId="0" applyBorder="1" applyFont="1"/>
    <xf borderId="16" fillId="0" fontId="4" numFmtId="0" xfId="0" applyBorder="1" applyFont="1"/>
    <xf borderId="4" fillId="2" fontId="6" numFmtId="0" xfId="0" applyAlignment="1" applyBorder="1" applyFont="1">
      <alignment shrinkToFit="0" wrapText="1"/>
    </xf>
    <xf borderId="4" fillId="2" fontId="6" numFmtId="0" xfId="0" applyAlignment="1" applyBorder="1" applyFont="1">
      <alignment horizontal="left" shrinkToFit="0" wrapText="1"/>
    </xf>
    <xf borderId="4" fillId="2" fontId="18" numFmtId="0" xfId="0" applyAlignment="1" applyBorder="1" applyFont="1">
      <alignment shrinkToFit="0" wrapText="1"/>
    </xf>
    <xf borderId="4" fillId="2" fontId="17" numFmtId="0" xfId="0" applyBorder="1" applyFont="1"/>
    <xf borderId="17" fillId="2" fontId="7" numFmtId="0" xfId="0" applyAlignment="1" applyBorder="1" applyFont="1">
      <alignment horizontal="center" shrinkToFit="0" vertical="top" wrapText="1"/>
    </xf>
    <xf borderId="1" fillId="2" fontId="1" numFmtId="0" xfId="0" applyAlignment="1" applyBorder="1" applyFont="1">
      <alignment horizontal="left" readingOrder="0" shrinkToFit="0" vertical="top" wrapText="1"/>
    </xf>
    <xf borderId="18" fillId="0" fontId="4" numFmtId="0" xfId="0" applyBorder="1" applyFont="1"/>
    <xf borderId="17" fillId="2" fontId="19" numFmtId="0" xfId="0" applyAlignment="1" applyBorder="1" applyFont="1">
      <alignment horizontal="center" shrinkToFit="0" vertical="top" wrapText="1"/>
    </xf>
    <xf borderId="5" fillId="2" fontId="19" numFmtId="0" xfId="0" applyAlignment="1" applyBorder="1" applyFont="1">
      <alignment horizontal="center" shrinkToFit="0" vertical="top" wrapText="1"/>
    </xf>
    <xf borderId="19" fillId="2" fontId="19" numFmtId="0" xfId="0" applyAlignment="1" applyBorder="1" applyFont="1">
      <alignment horizontal="center" shrinkToFit="0" vertical="top" wrapText="1"/>
    </xf>
    <xf borderId="4" fillId="2" fontId="10" numFmtId="0" xfId="0" applyAlignment="1" applyBorder="1" applyFont="1">
      <alignment horizontal="center" shrinkToFit="0" vertical="center" wrapText="1"/>
    </xf>
    <xf borderId="4" fillId="2" fontId="1" numFmtId="0" xfId="0" applyAlignment="1" applyBorder="1" applyFont="1">
      <alignment horizontal="center" shrinkToFit="0" wrapText="1"/>
    </xf>
    <xf borderId="4" fillId="2" fontId="18" numFmtId="0" xfId="0" applyAlignment="1" applyBorder="1" applyFont="1">
      <alignment horizontal="center" shrinkToFit="0" wrapText="1"/>
    </xf>
    <xf borderId="5" fillId="2" fontId="1" numFmtId="0" xfId="0" applyAlignment="1" applyBorder="1" applyFont="1">
      <alignment horizontal="center" shrinkToFit="0" vertical="top" wrapText="1"/>
    </xf>
    <xf borderId="19" fillId="2" fontId="1" numFmtId="0" xfId="0" applyAlignment="1" applyBorder="1" applyFont="1">
      <alignment horizontal="center" shrinkToFit="0" vertical="top" wrapText="1"/>
    </xf>
    <xf borderId="4" fillId="2" fontId="17" numFmtId="0" xfId="0" applyAlignment="1" applyBorder="1" applyFont="1">
      <alignment horizontal="center" shrinkToFit="0" vertical="center" wrapText="1"/>
    </xf>
    <xf borderId="20" fillId="2" fontId="19" numFmtId="0" xfId="0" applyAlignment="1" applyBorder="1" applyFont="1">
      <alignment horizontal="center" shrinkToFit="0" vertical="top" wrapText="1"/>
    </xf>
    <xf borderId="21" fillId="2" fontId="1" numFmtId="0" xfId="0" applyAlignment="1" applyBorder="1" applyFont="1">
      <alignment horizontal="center" shrinkToFit="0" vertical="top" wrapText="1"/>
    </xf>
    <xf borderId="22" fillId="2" fontId="1" numFmtId="0" xfId="0" applyAlignment="1" applyBorder="1" applyFont="1">
      <alignment horizontal="center" shrinkToFit="0" vertical="top" wrapText="1"/>
    </xf>
    <xf borderId="4" fillId="2" fontId="1" numFmtId="0" xfId="0" applyAlignment="1" applyBorder="1" applyFont="1">
      <alignment horizontal="center" readingOrder="0" shrinkToFit="0" wrapText="1"/>
    </xf>
    <xf borderId="5" fillId="5" fontId="9" numFmtId="0" xfId="0" applyAlignment="1" applyBorder="1" applyFill="1" applyFont="1">
      <alignment horizontal="center" shrinkToFit="0" vertical="center" wrapText="1"/>
    </xf>
    <xf borderId="4" fillId="2" fontId="11" numFmtId="0" xfId="0" applyAlignment="1" applyBorder="1" applyFont="1">
      <alignment horizontal="center" shrinkToFit="0" vertical="center" wrapText="1"/>
    </xf>
    <xf borderId="5" fillId="6" fontId="7" numFmtId="0" xfId="0" applyAlignment="1" applyBorder="1" applyFill="1" applyFont="1">
      <alignment horizontal="left" readingOrder="0" vertical="center"/>
    </xf>
    <xf borderId="5" fillId="6" fontId="7" numFmtId="0" xfId="0" applyAlignment="1" applyBorder="1" applyFont="1">
      <alignment horizontal="left" vertical="center"/>
    </xf>
    <xf borderId="9" fillId="2" fontId="17" numFmtId="0" xfId="0" applyBorder="1" applyFont="1"/>
    <xf borderId="4" fillId="2" fontId="11" numFmtId="0" xfId="0" applyAlignment="1" applyBorder="1" applyFont="1">
      <alignment horizontal="left" vertical="center"/>
    </xf>
    <xf borderId="5" fillId="2" fontId="1" numFmtId="0" xfId="0" applyAlignment="1" applyBorder="1" applyFont="1">
      <alignment readingOrder="0" shrinkToFit="0" vertical="top" wrapText="1"/>
    </xf>
    <xf borderId="5" fillId="2" fontId="17" numFmtId="0" xfId="0" applyAlignment="1" applyBorder="1" applyFont="1">
      <alignment horizontal="left" readingOrder="0" shrinkToFit="0" vertical="top" wrapText="1"/>
    </xf>
    <xf borderId="5" fillId="2" fontId="1" numFmtId="166" xfId="0" applyAlignment="1" applyBorder="1" applyFont="1" applyNumberFormat="1">
      <alignment readingOrder="0" shrinkToFit="0" vertical="top" wrapText="1"/>
    </xf>
    <xf borderId="5" fillId="2" fontId="1" numFmtId="0" xfId="0" applyAlignment="1" applyBorder="1" applyFont="1">
      <alignment shrinkToFit="0" vertical="top" wrapText="1"/>
    </xf>
    <xf borderId="4" fillId="2" fontId="18" numFmtId="0" xfId="0" applyAlignment="1" applyBorder="1" applyFont="1">
      <alignment shrinkToFit="0" vertical="top" wrapText="1"/>
    </xf>
    <xf borderId="5" fillId="2" fontId="20" numFmtId="0" xfId="0" applyAlignment="1" applyBorder="1" applyFont="1">
      <alignment shrinkToFit="0" vertical="top" wrapText="1"/>
    </xf>
    <xf borderId="5" fillId="2" fontId="21" numFmtId="0" xfId="0" applyAlignment="1" applyBorder="1" applyFont="1">
      <alignment readingOrder="0" vertical="top"/>
    </xf>
    <xf borderId="1" fillId="2" fontId="1" numFmtId="0" xfId="0" applyAlignment="1" applyBorder="1" applyFont="1">
      <alignment horizontal="left" shrinkToFit="0" vertical="top" wrapText="1"/>
    </xf>
    <xf borderId="5" fillId="2" fontId="17" numFmtId="0" xfId="0" applyAlignment="1" applyBorder="1" applyFont="1">
      <alignment readingOrder="0" shrinkToFit="0" vertical="top" wrapText="1"/>
    </xf>
    <xf borderId="5" fillId="2" fontId="17" numFmtId="0" xfId="0" applyAlignment="1" applyBorder="1" applyFont="1">
      <alignment horizontal="left" readingOrder="0" shrinkToFit="0" vertical="top" wrapText="1"/>
    </xf>
    <xf borderId="5" fillId="2" fontId="1" numFmtId="164" xfId="0" applyAlignment="1" applyBorder="1" applyFont="1" applyNumberFormat="1">
      <alignment readingOrder="0" shrinkToFit="0" vertical="top" wrapText="1"/>
    </xf>
    <xf borderId="9" fillId="2" fontId="17" numFmtId="0" xfId="0" applyAlignment="1" applyBorder="1" applyFont="1">
      <alignment vertical="top"/>
    </xf>
    <xf borderId="4" fillId="2" fontId="17" numFmtId="0" xfId="0" applyAlignment="1" applyBorder="1" applyFont="1">
      <alignment vertical="top"/>
    </xf>
    <xf borderId="5" fillId="2" fontId="17" numFmtId="0" xfId="0" applyAlignment="1" applyBorder="1" applyFont="1">
      <alignment horizontal="left" readingOrder="0" shrinkToFit="0" vertical="top" wrapText="1"/>
    </xf>
    <xf borderId="5" fillId="6" fontId="22" numFmtId="0" xfId="0" applyAlignment="1" applyBorder="1" applyFont="1">
      <alignment readingOrder="0"/>
    </xf>
    <xf borderId="5" fillId="6" fontId="23" numFmtId="0" xfId="0" applyBorder="1" applyFont="1"/>
    <xf borderId="9" fillId="2" fontId="23" numFmtId="0" xfId="0" applyAlignment="1" applyBorder="1" applyFont="1">
      <alignment vertical="bottom"/>
    </xf>
    <xf borderId="4" fillId="2" fontId="23" numFmtId="0" xfId="0" applyAlignment="1" applyBorder="1" applyFont="1">
      <alignment vertical="top"/>
    </xf>
    <xf borderId="4" fillId="2" fontId="23" numFmtId="0" xfId="0" applyAlignment="1" applyBorder="1" applyFont="1">
      <alignment vertical="bottom"/>
    </xf>
    <xf borderId="5" fillId="2" fontId="20" numFmtId="0" xfId="0" applyAlignment="1" applyBorder="1" applyFont="1">
      <alignment readingOrder="0" shrinkToFit="0" vertical="top" wrapText="1"/>
    </xf>
    <xf borderId="5" fillId="2" fontId="20" numFmtId="0" xfId="0" applyAlignment="1" applyBorder="1" applyFont="1">
      <alignment shrinkToFit="0" vertical="top" wrapText="1"/>
    </xf>
    <xf borderId="5" fillId="2" fontId="23" numFmtId="0" xfId="0" applyAlignment="1" applyBorder="1" applyFont="1">
      <alignment vertical="top"/>
    </xf>
    <xf borderId="17" fillId="2" fontId="19" numFmtId="0" xfId="0" applyAlignment="1" applyBorder="1" applyFont="1">
      <alignment horizontal="center" readingOrder="0" shrinkToFit="0" vertical="top" wrapText="1"/>
    </xf>
    <xf borderId="23" fillId="5" fontId="9" numFmtId="0" xfId="0" applyAlignment="1" applyBorder="1" applyFont="1">
      <alignment horizontal="center" shrinkToFit="0" vertical="center" wrapText="1"/>
    </xf>
    <xf borderId="5" fillId="6" fontId="7" numFmtId="0" xfId="0" applyAlignment="1" applyBorder="1" applyFont="1">
      <alignment horizontal="center" readingOrder="0" vertical="center"/>
    </xf>
    <xf borderId="5" fillId="6" fontId="7" numFmtId="0" xfId="0" applyAlignment="1" applyBorder="1" applyFont="1">
      <alignment horizontal="center" vertical="center"/>
    </xf>
    <xf borderId="5" fillId="2" fontId="1" numFmtId="0" xfId="0" applyAlignment="1" applyBorder="1" applyFont="1">
      <alignment horizontal="center" readingOrder="0" shrinkToFit="0" vertical="center" wrapText="1"/>
    </xf>
    <xf borderId="5" fillId="2" fontId="17" numFmtId="0" xfId="0" applyAlignment="1" applyBorder="1" applyFont="1">
      <alignment horizontal="center" readingOrder="0" shrinkToFit="0" vertical="center" wrapText="1"/>
    </xf>
    <xf borderId="5" fillId="2" fontId="17" numFmtId="0" xfId="0" applyAlignment="1" applyBorder="1" applyFont="1">
      <alignment horizontal="left" readingOrder="0" shrinkToFit="0" vertical="center" wrapText="1"/>
    </xf>
    <xf borderId="5" fillId="2" fontId="1" numFmtId="164" xfId="0" applyAlignment="1" applyBorder="1" applyFont="1" applyNumberFormat="1">
      <alignment horizontal="center" readingOrder="0" shrinkToFit="0" vertical="center" wrapText="1"/>
    </xf>
    <xf borderId="5" fillId="2" fontId="1" numFmtId="0" xfId="0" applyAlignment="1" applyBorder="1" applyFont="1">
      <alignment horizontal="center" shrinkToFit="0" vertical="center" wrapText="1"/>
    </xf>
    <xf borderId="5" fillId="2" fontId="1" numFmtId="0" xfId="0" applyAlignment="1" applyBorder="1" applyFont="1">
      <alignment horizontal="left" readingOrder="0" shrinkToFit="0" vertical="center" wrapText="1"/>
    </xf>
    <xf borderId="5" fillId="0" fontId="1" numFmtId="0" xfId="0" applyAlignment="1" applyBorder="1" applyFont="1">
      <alignment horizontal="center" readingOrder="0" vertical="center"/>
    </xf>
    <xf borderId="5" fillId="2" fontId="1" numFmtId="0" xfId="0" applyAlignment="1" applyBorder="1" applyFont="1">
      <alignment horizontal="center" vertical="center"/>
    </xf>
    <xf borderId="0" fillId="2" fontId="1" numFmtId="0" xfId="0" applyFont="1"/>
    <xf borderId="0" fillId="2" fontId="18" numFmtId="0" xfId="0" applyFont="1"/>
    <xf borderId="5" fillId="0" fontId="24" numFmtId="0" xfId="0" applyAlignment="1" applyBorder="1" applyFont="1">
      <alignment horizontal="left" readingOrder="0" vertical="center"/>
    </xf>
    <xf borderId="5" fillId="6" fontId="7" numFmtId="0" xfId="0" applyAlignment="1" applyBorder="1" applyFont="1">
      <alignment horizontal="left" vertical="top"/>
    </xf>
    <xf borderId="5" fillId="2" fontId="1" numFmtId="0" xfId="0" applyAlignment="1" applyBorder="1" applyFont="1">
      <alignment readingOrder="0" vertical="top"/>
    </xf>
    <xf borderId="24" fillId="6" fontId="7" numFmtId="0" xfId="0" applyAlignment="1" applyBorder="1" applyFont="1">
      <alignment horizontal="left" readingOrder="0" vertical="center"/>
    </xf>
    <xf borderId="24" fillId="6" fontId="7" numFmtId="0" xfId="0" applyAlignment="1" applyBorder="1" applyFont="1">
      <alignment horizontal="left" vertical="center"/>
    </xf>
    <xf borderId="25" fillId="6" fontId="7" numFmtId="0" xfId="0" applyAlignment="1" applyBorder="1" applyFont="1">
      <alignment horizontal="left" vertical="center"/>
    </xf>
    <xf borderId="26" fillId="6" fontId="7" numFmtId="0" xfId="0" applyAlignment="1" applyBorder="1" applyFont="1">
      <alignment horizontal="left" vertical="center"/>
    </xf>
    <xf borderId="1" fillId="2" fontId="1" numFmtId="0" xfId="0" applyAlignment="1" applyBorder="1" applyFont="1">
      <alignment readingOrder="0" shrinkToFit="0" vertical="top" wrapText="1"/>
    </xf>
    <xf borderId="2" fillId="2" fontId="1" numFmtId="0" xfId="0" applyAlignment="1" applyBorder="1" applyFont="1">
      <alignment readingOrder="0" shrinkToFit="0" vertical="top" wrapText="1"/>
    </xf>
    <xf borderId="2" fillId="2" fontId="17" numFmtId="0" xfId="0" applyAlignment="1" applyBorder="1" applyFont="1">
      <alignment horizontal="left" readingOrder="0" shrinkToFit="0" vertical="top" wrapText="1"/>
    </xf>
    <xf borderId="3" fillId="2" fontId="1" numFmtId="0" xfId="0" applyAlignment="1" applyBorder="1" applyFont="1">
      <alignment shrinkToFit="0" vertical="top" wrapText="1"/>
    </xf>
    <xf borderId="27" fillId="6" fontId="7" numFmtId="0" xfId="0" applyAlignment="1" applyBorder="1" applyFont="1">
      <alignment horizontal="left" vertical="center"/>
    </xf>
    <xf borderId="28" fillId="6" fontId="7" numFmtId="0" xfId="0" applyAlignment="1" applyBorder="1" applyFont="1">
      <alignment horizontal="left" vertical="center"/>
    </xf>
    <xf borderId="11" fillId="6" fontId="7" numFmtId="0" xfId="0" applyAlignment="1" applyBorder="1" applyFont="1">
      <alignment horizontal="left" vertical="center"/>
    </xf>
    <xf borderId="7" fillId="2" fontId="1" numFmtId="0" xfId="0" applyAlignment="1" applyBorder="1" applyFont="1">
      <alignment horizontal="center" shrinkToFit="0" wrapText="1"/>
    </xf>
    <xf borderId="7" fillId="2" fontId="17" numFmtId="0" xfId="0" applyAlignment="1" applyBorder="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2143125" cy="781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4.xml"/><Relationship Id="rId3"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5.xml"/><Relationship Id="rId3"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6.xml"/><Relationship Id="rId3" Type="http://schemas.openxmlformats.org/officeDocument/2006/relationships/vmlDrawing" Target="../drawings/vmlDrawing14.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7.xml"/><Relationship Id="rId3" Type="http://schemas.openxmlformats.org/officeDocument/2006/relationships/vmlDrawing" Target="../drawings/vmlDrawing1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13"/>
    <col customWidth="1" min="2" max="2" width="10.0"/>
    <col customWidth="1" min="3" max="3" width="26.13"/>
    <col customWidth="1" min="4" max="4" width="8.0"/>
    <col customWidth="1" min="5" max="5" width="44.38"/>
    <col customWidth="1" min="6" max="6" width="48.13"/>
    <col customWidth="1" min="7" max="26" width="9.0"/>
  </cols>
  <sheetData>
    <row r="1" ht="12.75" customHeight="1">
      <c r="A1" s="1"/>
      <c r="B1" s="2"/>
      <c r="C1" s="2"/>
      <c r="D1" s="2"/>
      <c r="E1" s="2"/>
      <c r="F1" s="2"/>
      <c r="G1" s="2"/>
      <c r="H1" s="2"/>
      <c r="I1" s="2"/>
      <c r="J1" s="2"/>
      <c r="K1" s="2"/>
      <c r="L1" s="2"/>
      <c r="M1" s="2"/>
      <c r="N1" s="2"/>
      <c r="O1" s="2"/>
      <c r="P1" s="2"/>
      <c r="Q1" s="2"/>
      <c r="R1" s="2"/>
      <c r="S1" s="2"/>
      <c r="T1" s="2"/>
      <c r="U1" s="2"/>
      <c r="V1" s="2"/>
      <c r="W1" s="2"/>
      <c r="X1" s="2"/>
      <c r="Y1" s="2"/>
      <c r="Z1" s="2"/>
    </row>
    <row r="2" ht="75.75" customHeight="1">
      <c r="A2" s="3"/>
      <c r="B2" s="4" t="s">
        <v>0</v>
      </c>
      <c r="C2" s="5"/>
      <c r="D2" s="5"/>
      <c r="E2" s="5"/>
      <c r="F2" s="6"/>
      <c r="G2" s="7"/>
      <c r="H2" s="7"/>
      <c r="I2" s="7"/>
      <c r="J2" s="7"/>
      <c r="K2" s="7"/>
      <c r="L2" s="7"/>
      <c r="M2" s="7"/>
      <c r="N2" s="7"/>
      <c r="O2" s="7"/>
      <c r="P2" s="7"/>
      <c r="Q2" s="7"/>
      <c r="R2" s="7"/>
      <c r="S2" s="7"/>
      <c r="T2" s="7"/>
      <c r="U2" s="7"/>
      <c r="V2" s="7"/>
      <c r="W2" s="7"/>
      <c r="X2" s="7"/>
      <c r="Y2" s="7"/>
      <c r="Z2" s="7"/>
    </row>
    <row r="3" ht="12.75" customHeight="1">
      <c r="A3" s="8"/>
      <c r="B3" s="9"/>
      <c r="C3" s="2"/>
      <c r="D3" s="2"/>
      <c r="E3" s="10"/>
      <c r="F3" s="2"/>
      <c r="G3" s="2"/>
      <c r="H3" s="2"/>
      <c r="I3" s="2"/>
      <c r="J3" s="2"/>
      <c r="K3" s="2"/>
      <c r="L3" s="2"/>
      <c r="M3" s="2"/>
      <c r="N3" s="2"/>
      <c r="O3" s="2"/>
      <c r="P3" s="2"/>
      <c r="Q3" s="2"/>
      <c r="R3" s="2"/>
      <c r="S3" s="2"/>
      <c r="T3" s="2"/>
      <c r="U3" s="2"/>
      <c r="V3" s="2"/>
      <c r="W3" s="2"/>
      <c r="X3" s="2"/>
      <c r="Y3" s="2"/>
      <c r="Z3" s="2"/>
    </row>
    <row r="4" ht="14.25" customHeight="1">
      <c r="A4" s="11" t="s">
        <v>1</v>
      </c>
      <c r="B4" s="12" t="s">
        <v>2</v>
      </c>
      <c r="C4" s="5"/>
      <c r="D4" s="6"/>
      <c r="E4" s="11" t="s">
        <v>3</v>
      </c>
      <c r="F4" s="13" t="s">
        <v>4</v>
      </c>
      <c r="G4" s="2"/>
      <c r="H4" s="2"/>
      <c r="I4" s="2"/>
      <c r="J4" s="2"/>
      <c r="K4" s="2"/>
      <c r="L4" s="2"/>
      <c r="M4" s="2"/>
      <c r="N4" s="2"/>
      <c r="O4" s="2"/>
      <c r="P4" s="2"/>
      <c r="Q4" s="2"/>
      <c r="R4" s="2"/>
      <c r="S4" s="2"/>
      <c r="T4" s="2"/>
      <c r="U4" s="2"/>
      <c r="V4" s="2"/>
      <c r="W4" s="2"/>
      <c r="X4" s="2"/>
      <c r="Y4" s="2"/>
      <c r="Z4" s="2"/>
    </row>
    <row r="5" ht="14.25" customHeight="1">
      <c r="A5" s="11" t="s">
        <v>5</v>
      </c>
      <c r="B5" s="12" t="s">
        <v>6</v>
      </c>
      <c r="C5" s="5"/>
      <c r="D5" s="6"/>
      <c r="E5" s="11" t="s">
        <v>7</v>
      </c>
      <c r="F5" s="14">
        <v>45912.0</v>
      </c>
      <c r="G5" s="2"/>
      <c r="H5" s="2"/>
      <c r="I5" s="2"/>
      <c r="J5" s="2"/>
      <c r="K5" s="2"/>
      <c r="L5" s="2"/>
      <c r="M5" s="2"/>
      <c r="N5" s="2"/>
      <c r="O5" s="2"/>
      <c r="P5" s="2"/>
      <c r="Q5" s="2"/>
      <c r="R5" s="2"/>
      <c r="S5" s="2"/>
      <c r="T5" s="2"/>
      <c r="U5" s="2"/>
      <c r="V5" s="2"/>
      <c r="W5" s="2"/>
      <c r="X5" s="2"/>
      <c r="Y5" s="2"/>
      <c r="Z5" s="2"/>
    </row>
    <row r="6" ht="15.75" customHeight="1">
      <c r="A6" s="15" t="s">
        <v>8</v>
      </c>
      <c r="B6" s="16" t="str">
        <f>B5&amp;"_"&amp;"Test Report"&amp;"_"&amp;"v1.0"</f>
        <v>ESBMS_Test Report_v1.0</v>
      </c>
      <c r="C6" s="5"/>
      <c r="D6" s="6"/>
      <c r="E6" s="11" t="s">
        <v>9</v>
      </c>
      <c r="F6" s="17"/>
      <c r="G6" s="2"/>
      <c r="H6" s="2"/>
      <c r="I6" s="2"/>
      <c r="J6" s="2"/>
      <c r="K6" s="2"/>
      <c r="L6" s="2"/>
      <c r="M6" s="2"/>
      <c r="N6" s="2"/>
      <c r="O6" s="2"/>
      <c r="P6" s="2"/>
      <c r="Q6" s="2"/>
      <c r="R6" s="2"/>
      <c r="S6" s="2"/>
      <c r="T6" s="2"/>
      <c r="U6" s="2"/>
      <c r="V6" s="2"/>
      <c r="W6" s="2"/>
      <c r="X6" s="2"/>
      <c r="Y6" s="2"/>
      <c r="Z6" s="2"/>
    </row>
    <row r="7" ht="12.75" customHeight="1">
      <c r="A7" s="18"/>
      <c r="B7" s="9"/>
      <c r="C7" s="2"/>
      <c r="D7" s="2"/>
      <c r="E7" s="19"/>
      <c r="F7" s="9"/>
      <c r="G7" s="2"/>
      <c r="H7" s="2"/>
      <c r="I7" s="2"/>
      <c r="J7" s="2"/>
      <c r="K7" s="2"/>
      <c r="L7" s="2"/>
      <c r="M7" s="2"/>
      <c r="N7" s="2"/>
      <c r="O7" s="2"/>
      <c r="P7" s="2"/>
      <c r="Q7" s="2"/>
      <c r="R7" s="2"/>
      <c r="S7" s="2"/>
      <c r="T7" s="2"/>
      <c r="U7" s="2"/>
      <c r="V7" s="2"/>
      <c r="W7" s="2"/>
      <c r="X7" s="2"/>
      <c r="Y7" s="2"/>
      <c r="Z7" s="2"/>
    </row>
    <row r="8" ht="12.75" customHeight="1">
      <c r="A8" s="2"/>
      <c r="B8" s="2"/>
      <c r="C8" s="2"/>
      <c r="D8" s="2"/>
      <c r="E8" s="2"/>
      <c r="F8" s="2"/>
      <c r="G8" s="2"/>
      <c r="H8" s="2"/>
      <c r="I8" s="2"/>
      <c r="J8" s="2"/>
      <c r="K8" s="2"/>
      <c r="L8" s="2"/>
      <c r="M8" s="2"/>
      <c r="N8" s="2"/>
      <c r="O8" s="2"/>
      <c r="P8" s="2"/>
      <c r="Q8" s="2"/>
      <c r="R8" s="2"/>
      <c r="S8" s="2"/>
      <c r="T8" s="2"/>
      <c r="U8" s="2"/>
      <c r="V8" s="2"/>
      <c r="W8" s="2"/>
      <c r="X8" s="2"/>
      <c r="Y8" s="2"/>
      <c r="Z8" s="2"/>
    </row>
    <row r="9" ht="12.75" customHeight="1">
      <c r="A9" s="20" t="s">
        <v>10</v>
      </c>
      <c r="B9" s="2"/>
      <c r="C9" s="2"/>
      <c r="D9" s="2"/>
      <c r="E9" s="2"/>
      <c r="F9" s="2"/>
      <c r="G9" s="2"/>
      <c r="H9" s="2"/>
      <c r="I9" s="2"/>
      <c r="J9" s="2"/>
      <c r="K9" s="2"/>
      <c r="L9" s="2"/>
      <c r="M9" s="2"/>
      <c r="N9" s="2"/>
      <c r="O9" s="2"/>
      <c r="P9" s="2"/>
      <c r="Q9" s="2"/>
      <c r="R9" s="2"/>
      <c r="S9" s="2"/>
      <c r="T9" s="2"/>
      <c r="U9" s="2"/>
      <c r="V9" s="2"/>
      <c r="W9" s="2"/>
      <c r="X9" s="2"/>
      <c r="Y9" s="2"/>
      <c r="Z9" s="2"/>
    </row>
    <row r="10" ht="12.75" customHeight="1">
      <c r="A10" s="21" t="s">
        <v>11</v>
      </c>
      <c r="B10" s="22" t="s">
        <v>9</v>
      </c>
      <c r="C10" s="22" t="s">
        <v>12</v>
      </c>
      <c r="D10" s="22" t="s">
        <v>13</v>
      </c>
      <c r="E10" s="22" t="s">
        <v>14</v>
      </c>
      <c r="F10" s="22" t="s">
        <v>15</v>
      </c>
      <c r="G10" s="23"/>
      <c r="H10" s="23"/>
      <c r="I10" s="23"/>
      <c r="J10" s="23"/>
      <c r="K10" s="23"/>
      <c r="L10" s="23"/>
      <c r="M10" s="23"/>
      <c r="N10" s="23"/>
      <c r="O10" s="23"/>
      <c r="P10" s="23"/>
      <c r="Q10" s="23"/>
      <c r="R10" s="23"/>
      <c r="S10" s="23"/>
      <c r="T10" s="23"/>
      <c r="U10" s="23"/>
      <c r="V10" s="23"/>
      <c r="W10" s="23"/>
      <c r="X10" s="23"/>
      <c r="Y10" s="23"/>
      <c r="Z10" s="23"/>
    </row>
    <row r="11" ht="26.25" customHeight="1">
      <c r="A11" s="24">
        <v>45912.0</v>
      </c>
      <c r="B11" s="25" t="s">
        <v>16</v>
      </c>
      <c r="C11" s="26" t="s">
        <v>17</v>
      </c>
      <c r="D11" s="26" t="s">
        <v>18</v>
      </c>
      <c r="E11" s="26" t="s">
        <v>19</v>
      </c>
      <c r="F11" s="27"/>
      <c r="G11" s="28"/>
      <c r="H11" s="28"/>
      <c r="I11" s="28"/>
      <c r="J11" s="28"/>
      <c r="K11" s="28"/>
      <c r="L11" s="28"/>
      <c r="M11" s="28"/>
      <c r="N11" s="28"/>
      <c r="O11" s="28"/>
      <c r="P11" s="28"/>
      <c r="Q11" s="28"/>
      <c r="R11" s="28"/>
      <c r="S11" s="28"/>
      <c r="T11" s="28"/>
      <c r="U11" s="28"/>
      <c r="V11" s="28"/>
      <c r="W11" s="28"/>
      <c r="X11" s="28"/>
      <c r="Y11" s="28"/>
      <c r="Z11" s="28"/>
    </row>
    <row r="12" ht="21.75" customHeight="1">
      <c r="A12" s="24">
        <v>45912.0</v>
      </c>
      <c r="B12" s="25" t="s">
        <v>20</v>
      </c>
      <c r="C12" s="26" t="s">
        <v>21</v>
      </c>
      <c r="D12" s="26" t="s">
        <v>22</v>
      </c>
      <c r="E12" s="26" t="s">
        <v>23</v>
      </c>
      <c r="F12" s="29"/>
      <c r="G12" s="28"/>
      <c r="H12" s="28"/>
      <c r="I12" s="28"/>
      <c r="J12" s="28"/>
      <c r="K12" s="28"/>
      <c r="L12" s="28"/>
      <c r="M12" s="28"/>
      <c r="N12" s="28"/>
      <c r="O12" s="28"/>
      <c r="P12" s="28"/>
      <c r="Q12" s="28"/>
      <c r="R12" s="28"/>
      <c r="S12" s="28"/>
      <c r="T12" s="28"/>
      <c r="U12" s="28"/>
      <c r="V12" s="28"/>
      <c r="W12" s="28"/>
      <c r="X12" s="28"/>
      <c r="Y12" s="28"/>
      <c r="Z12" s="28"/>
    </row>
    <row r="13" ht="19.5" customHeight="1">
      <c r="A13" s="24">
        <v>45913.0</v>
      </c>
      <c r="B13" s="25" t="s">
        <v>24</v>
      </c>
      <c r="C13" s="26" t="s">
        <v>25</v>
      </c>
      <c r="D13" s="26" t="s">
        <v>22</v>
      </c>
      <c r="E13" s="26" t="s">
        <v>26</v>
      </c>
      <c r="F13" s="29"/>
      <c r="G13" s="28"/>
      <c r="H13" s="28"/>
      <c r="I13" s="28"/>
      <c r="J13" s="28"/>
      <c r="K13" s="28"/>
      <c r="L13" s="28"/>
      <c r="M13" s="28"/>
      <c r="N13" s="28"/>
      <c r="O13" s="28"/>
      <c r="P13" s="28"/>
      <c r="Q13" s="28"/>
      <c r="R13" s="28"/>
      <c r="S13" s="28"/>
      <c r="T13" s="28"/>
      <c r="U13" s="28"/>
      <c r="V13" s="28"/>
      <c r="W13" s="28"/>
      <c r="X13" s="28"/>
      <c r="Y13" s="28"/>
      <c r="Z13" s="28"/>
    </row>
    <row r="14" ht="21.75" customHeight="1">
      <c r="A14" s="24">
        <v>45913.0</v>
      </c>
      <c r="B14" s="25" t="s">
        <v>27</v>
      </c>
      <c r="C14" s="26" t="s">
        <v>28</v>
      </c>
      <c r="D14" s="26" t="s">
        <v>22</v>
      </c>
      <c r="E14" s="26" t="s">
        <v>29</v>
      </c>
      <c r="F14" s="29"/>
      <c r="G14" s="28"/>
      <c r="H14" s="28"/>
      <c r="I14" s="28"/>
      <c r="J14" s="28"/>
      <c r="K14" s="28"/>
      <c r="L14" s="28"/>
      <c r="M14" s="28"/>
      <c r="N14" s="28"/>
      <c r="O14" s="28"/>
      <c r="P14" s="28"/>
      <c r="Q14" s="28"/>
      <c r="R14" s="28"/>
      <c r="S14" s="28"/>
      <c r="T14" s="28"/>
      <c r="U14" s="28"/>
      <c r="V14" s="28"/>
      <c r="W14" s="28"/>
      <c r="X14" s="28"/>
      <c r="Y14" s="28"/>
      <c r="Z14" s="28"/>
    </row>
    <row r="15" ht="19.5" customHeight="1">
      <c r="A15" s="24">
        <v>45914.0</v>
      </c>
      <c r="B15" s="25" t="s">
        <v>30</v>
      </c>
      <c r="C15" s="26" t="s">
        <v>31</v>
      </c>
      <c r="D15" s="26" t="s">
        <v>22</v>
      </c>
      <c r="E15" s="26" t="s">
        <v>32</v>
      </c>
      <c r="F15" s="29"/>
      <c r="G15" s="28"/>
      <c r="H15" s="28"/>
      <c r="I15" s="28"/>
      <c r="J15" s="28"/>
      <c r="K15" s="28"/>
      <c r="L15" s="28"/>
      <c r="M15" s="28"/>
      <c r="N15" s="28"/>
      <c r="O15" s="28"/>
      <c r="P15" s="28"/>
      <c r="Q15" s="28"/>
      <c r="R15" s="28"/>
      <c r="S15" s="28"/>
      <c r="T15" s="28"/>
      <c r="U15" s="28"/>
      <c r="V15" s="28"/>
      <c r="W15" s="28"/>
      <c r="X15" s="28"/>
      <c r="Y15" s="28"/>
      <c r="Z15" s="28"/>
    </row>
    <row r="16" ht="21.75" customHeight="1">
      <c r="A16" s="30"/>
      <c r="B16" s="31"/>
      <c r="C16" s="29"/>
      <c r="D16" s="29"/>
      <c r="E16" s="29"/>
      <c r="F16" s="29"/>
      <c r="G16" s="28"/>
      <c r="H16" s="28"/>
      <c r="I16" s="28"/>
      <c r="J16" s="28"/>
      <c r="K16" s="28"/>
      <c r="L16" s="28"/>
      <c r="M16" s="28"/>
      <c r="N16" s="28"/>
      <c r="O16" s="28"/>
      <c r="P16" s="28"/>
      <c r="Q16" s="28"/>
      <c r="R16" s="28"/>
      <c r="S16" s="28"/>
      <c r="T16" s="28"/>
      <c r="U16" s="28"/>
      <c r="V16" s="28"/>
      <c r="W16" s="28"/>
      <c r="X16" s="28"/>
      <c r="Y16" s="28"/>
      <c r="Z16" s="28"/>
    </row>
    <row r="17" ht="19.5" customHeight="1">
      <c r="A17" s="30"/>
      <c r="B17" s="31"/>
      <c r="C17" s="29"/>
      <c r="D17" s="29"/>
      <c r="E17" s="29"/>
      <c r="F17" s="29"/>
      <c r="G17" s="28"/>
      <c r="H17" s="28"/>
      <c r="I17" s="28"/>
      <c r="J17" s="28"/>
      <c r="K17" s="28"/>
      <c r="L17" s="28"/>
      <c r="M17" s="28"/>
      <c r="N17" s="28"/>
      <c r="O17" s="28"/>
      <c r="P17" s="28"/>
      <c r="Q17" s="28"/>
      <c r="R17" s="28"/>
      <c r="S17" s="28"/>
      <c r="T17" s="28"/>
      <c r="U17" s="28"/>
      <c r="V17" s="28"/>
      <c r="W17" s="28"/>
      <c r="X17" s="28"/>
      <c r="Y17" s="28"/>
      <c r="Z17" s="28"/>
    </row>
    <row r="18" ht="12.75" customHeight="1">
      <c r="A18" s="1"/>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1"/>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1"/>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1"/>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1"/>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1"/>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1"/>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1"/>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1"/>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1"/>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1"/>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1"/>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1"/>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1"/>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1"/>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1"/>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1"/>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1"/>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1"/>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1"/>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1"/>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1"/>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1"/>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1"/>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1"/>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1"/>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B2:F2"/>
    <mergeCell ref="B4:D4"/>
    <mergeCell ref="B5:D5"/>
    <mergeCell ref="B6:D6"/>
  </mergeCells>
  <printOptions/>
  <pageMargins bottom="0.35138888888888886" footer="0.0" header="0.0" left="0.4701388888888889" right="0.4701388888888889" top="0.5"/>
  <pageSetup paperSize="9" orientation="landscape"/>
  <headerFooter>
    <oddFooter>&amp;L 02ae-BM/PM/HDCV/FSOFT v2/1&amp;CInternal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11.88"/>
    <col customWidth="1" min="3" max="3" width="39.38"/>
    <col customWidth="1" min="4" max="4" width="34.63"/>
    <col customWidth="1" min="5" max="5" width="53.38"/>
    <col customWidth="1" min="6" max="6" width="30.63"/>
    <col customWidth="1" min="7" max="26" width="9.0"/>
  </cols>
  <sheetData>
    <row r="1" ht="12.75" customHeight="1">
      <c r="A1" s="10"/>
      <c r="B1" s="32"/>
      <c r="C1" s="33"/>
      <c r="D1" s="34" t="s">
        <v>33</v>
      </c>
      <c r="E1" s="35"/>
      <c r="F1" s="33"/>
      <c r="G1" s="10"/>
      <c r="H1" s="10"/>
      <c r="I1" s="10"/>
      <c r="J1" s="10"/>
      <c r="K1" s="10"/>
      <c r="L1" s="10"/>
      <c r="M1" s="10"/>
      <c r="N1" s="10"/>
      <c r="O1" s="10"/>
      <c r="P1" s="10"/>
      <c r="Q1" s="10"/>
      <c r="R1" s="10"/>
      <c r="S1" s="10"/>
      <c r="T1" s="10"/>
      <c r="U1" s="10"/>
      <c r="V1" s="10"/>
      <c r="W1" s="10"/>
      <c r="X1" s="10"/>
      <c r="Y1" s="10"/>
      <c r="Z1" s="10"/>
    </row>
    <row r="2" ht="13.5" customHeight="1">
      <c r="A2" s="10"/>
      <c r="B2" s="32"/>
      <c r="C2" s="33"/>
      <c r="D2" s="36"/>
      <c r="E2" s="36"/>
      <c r="F2" s="33"/>
      <c r="G2" s="10"/>
      <c r="H2" s="10"/>
      <c r="I2" s="10"/>
      <c r="J2" s="10"/>
      <c r="K2" s="10"/>
      <c r="L2" s="10"/>
      <c r="M2" s="10"/>
      <c r="N2" s="10"/>
      <c r="O2" s="10"/>
      <c r="P2" s="10"/>
      <c r="Q2" s="10"/>
      <c r="R2" s="10"/>
      <c r="S2" s="10"/>
      <c r="T2" s="10"/>
      <c r="U2" s="10"/>
      <c r="V2" s="10"/>
      <c r="W2" s="10"/>
      <c r="X2" s="10"/>
      <c r="Y2" s="10"/>
      <c r="Z2" s="10"/>
    </row>
    <row r="3" ht="12.75" customHeight="1">
      <c r="A3" s="10"/>
      <c r="B3" s="37" t="s">
        <v>1</v>
      </c>
      <c r="C3" s="38"/>
      <c r="D3" s="39" t="s">
        <v>34</v>
      </c>
      <c r="E3" s="5"/>
      <c r="F3" s="6"/>
      <c r="G3" s="10"/>
      <c r="H3" s="10"/>
      <c r="I3" s="10"/>
      <c r="J3" s="10"/>
      <c r="K3" s="10"/>
      <c r="L3" s="10"/>
      <c r="M3" s="10"/>
      <c r="N3" s="10"/>
      <c r="O3" s="10"/>
      <c r="P3" s="10"/>
      <c r="Q3" s="10"/>
      <c r="R3" s="10"/>
      <c r="S3" s="10"/>
      <c r="T3" s="10"/>
      <c r="U3" s="10"/>
      <c r="V3" s="10"/>
      <c r="W3" s="10"/>
      <c r="X3" s="10"/>
      <c r="Y3" s="10"/>
      <c r="Z3" s="10"/>
    </row>
    <row r="4" ht="12.75" customHeight="1">
      <c r="A4" s="10"/>
      <c r="B4" s="37" t="s">
        <v>5</v>
      </c>
      <c r="C4" s="38"/>
      <c r="D4" s="39" t="s">
        <v>6</v>
      </c>
      <c r="E4" s="5"/>
      <c r="F4" s="6"/>
      <c r="G4" s="10"/>
      <c r="H4" s="10"/>
      <c r="I4" s="10"/>
      <c r="J4" s="10"/>
      <c r="K4" s="10"/>
      <c r="L4" s="10"/>
      <c r="M4" s="10"/>
      <c r="N4" s="10"/>
      <c r="O4" s="10"/>
      <c r="P4" s="10"/>
      <c r="Q4" s="10"/>
      <c r="R4" s="10"/>
      <c r="S4" s="10"/>
      <c r="T4" s="10"/>
      <c r="U4" s="10"/>
      <c r="V4" s="10"/>
      <c r="W4" s="10"/>
      <c r="X4" s="10"/>
      <c r="Y4" s="10"/>
      <c r="Z4" s="10"/>
    </row>
    <row r="5" ht="84.75" customHeight="1">
      <c r="A5" s="40"/>
      <c r="B5" s="41" t="s">
        <v>35</v>
      </c>
      <c r="C5" s="6"/>
      <c r="D5" s="42" t="s">
        <v>36</v>
      </c>
      <c r="E5" s="5"/>
      <c r="F5" s="6"/>
      <c r="G5" s="40"/>
      <c r="H5" s="40"/>
      <c r="I5" s="40"/>
      <c r="J5" s="40"/>
      <c r="K5" s="40"/>
      <c r="L5" s="40"/>
      <c r="M5" s="40"/>
      <c r="N5" s="40"/>
      <c r="O5" s="40"/>
      <c r="P5" s="40"/>
      <c r="Q5" s="40"/>
      <c r="R5" s="40"/>
      <c r="S5" s="40"/>
      <c r="T5" s="40"/>
      <c r="U5" s="40"/>
      <c r="V5" s="40"/>
      <c r="W5" s="40"/>
      <c r="X5" s="40"/>
      <c r="Y5" s="40"/>
      <c r="Z5" s="40"/>
    </row>
    <row r="6" ht="12.75" customHeight="1">
      <c r="A6" s="10"/>
      <c r="B6" s="43"/>
      <c r="C6" s="10"/>
      <c r="D6" s="10"/>
      <c r="E6" s="10"/>
      <c r="F6" s="10"/>
      <c r="G6" s="10"/>
      <c r="H6" s="10"/>
      <c r="I6" s="10"/>
      <c r="J6" s="10"/>
      <c r="K6" s="10"/>
      <c r="L6" s="10"/>
      <c r="M6" s="10"/>
      <c r="N6" s="10"/>
      <c r="O6" s="10"/>
      <c r="P6" s="10"/>
      <c r="Q6" s="10"/>
      <c r="R6" s="10"/>
      <c r="S6" s="10"/>
      <c r="T6" s="10"/>
      <c r="U6" s="10"/>
      <c r="V6" s="10"/>
      <c r="W6" s="10"/>
      <c r="X6" s="10"/>
      <c r="Y6" s="10"/>
      <c r="Z6" s="10"/>
    </row>
    <row r="7" ht="12.75" customHeight="1">
      <c r="A7" s="44"/>
      <c r="B7" s="45"/>
      <c r="C7" s="46"/>
      <c r="D7" s="46"/>
      <c r="E7" s="46"/>
      <c r="F7" s="46"/>
      <c r="G7" s="44"/>
      <c r="H7" s="44"/>
      <c r="I7" s="44"/>
      <c r="J7" s="44"/>
      <c r="K7" s="44"/>
      <c r="L7" s="44"/>
      <c r="M7" s="44"/>
      <c r="N7" s="44"/>
      <c r="O7" s="44"/>
      <c r="P7" s="44"/>
      <c r="Q7" s="44"/>
      <c r="R7" s="44"/>
      <c r="S7" s="44"/>
      <c r="T7" s="44"/>
      <c r="U7" s="44"/>
      <c r="V7" s="44"/>
      <c r="W7" s="44"/>
      <c r="X7" s="44"/>
      <c r="Y7" s="44"/>
      <c r="Z7" s="44"/>
    </row>
    <row r="8" ht="21.0" customHeight="1">
      <c r="A8" s="47"/>
      <c r="B8" s="48" t="s">
        <v>37</v>
      </c>
      <c r="C8" s="49" t="s">
        <v>38</v>
      </c>
      <c r="D8" s="49" t="s">
        <v>39</v>
      </c>
      <c r="E8" s="49" t="s">
        <v>40</v>
      </c>
      <c r="F8" s="49" t="s">
        <v>41</v>
      </c>
      <c r="G8" s="50"/>
      <c r="H8" s="51"/>
      <c r="I8" s="51"/>
      <c r="J8" s="51"/>
      <c r="K8" s="51"/>
      <c r="L8" s="51"/>
      <c r="M8" s="51"/>
      <c r="N8" s="51"/>
      <c r="O8" s="51"/>
      <c r="P8" s="51"/>
      <c r="Q8" s="51"/>
      <c r="R8" s="51"/>
      <c r="S8" s="51"/>
      <c r="T8" s="51"/>
      <c r="U8" s="51"/>
      <c r="V8" s="51"/>
      <c r="W8" s="51"/>
      <c r="X8" s="51"/>
      <c r="Y8" s="51"/>
      <c r="Z8" s="51"/>
    </row>
    <row r="9" ht="12.75" customHeight="1">
      <c r="A9" s="52"/>
      <c r="B9" s="53">
        <v>1.0</v>
      </c>
      <c r="C9" s="54" t="s">
        <v>42</v>
      </c>
      <c r="D9" s="55" t="s">
        <v>43</v>
      </c>
      <c r="E9" s="54" t="s">
        <v>44</v>
      </c>
      <c r="F9" s="56" t="s">
        <v>45</v>
      </c>
      <c r="G9" s="57"/>
      <c r="H9" s="10"/>
      <c r="I9" s="10"/>
      <c r="J9" s="10"/>
      <c r="K9" s="10"/>
      <c r="L9" s="10"/>
      <c r="M9" s="10"/>
      <c r="N9" s="10"/>
      <c r="O9" s="10"/>
      <c r="P9" s="10"/>
      <c r="Q9" s="10"/>
      <c r="R9" s="10"/>
      <c r="S9" s="10"/>
      <c r="T9" s="10"/>
      <c r="U9" s="10"/>
      <c r="V9" s="10"/>
      <c r="W9" s="10"/>
      <c r="X9" s="10"/>
      <c r="Y9" s="10"/>
      <c r="Z9" s="10"/>
    </row>
    <row r="10" ht="12.75" customHeight="1">
      <c r="A10" s="52"/>
      <c r="B10" s="53">
        <v>2.0</v>
      </c>
      <c r="C10" s="54" t="s">
        <v>46</v>
      </c>
      <c r="D10" s="55" t="s">
        <v>43</v>
      </c>
      <c r="E10" s="54" t="s">
        <v>47</v>
      </c>
      <c r="F10" s="56" t="s">
        <v>45</v>
      </c>
      <c r="G10" s="57"/>
      <c r="H10" s="10"/>
      <c r="I10" s="10"/>
      <c r="J10" s="10"/>
      <c r="K10" s="10"/>
      <c r="L10" s="10"/>
      <c r="M10" s="10"/>
      <c r="N10" s="10"/>
      <c r="O10" s="10"/>
      <c r="P10" s="10"/>
      <c r="Q10" s="10"/>
      <c r="R10" s="10"/>
      <c r="S10" s="10"/>
      <c r="T10" s="10"/>
      <c r="U10" s="10"/>
      <c r="V10" s="10"/>
      <c r="W10" s="10"/>
      <c r="X10" s="10"/>
      <c r="Y10" s="10"/>
      <c r="Z10" s="10"/>
    </row>
    <row r="11" ht="12.75" customHeight="1">
      <c r="A11" s="52"/>
      <c r="B11" s="53">
        <v>3.0</v>
      </c>
      <c r="C11" s="54" t="s">
        <v>48</v>
      </c>
      <c r="D11" s="55" t="s">
        <v>43</v>
      </c>
      <c r="E11" s="54" t="s">
        <v>49</v>
      </c>
      <c r="F11" s="56" t="s">
        <v>45</v>
      </c>
      <c r="G11" s="57"/>
      <c r="H11" s="10"/>
      <c r="I11" s="10"/>
      <c r="J11" s="10"/>
      <c r="K11" s="10"/>
      <c r="L11" s="10"/>
      <c r="M11" s="10"/>
      <c r="N11" s="10"/>
      <c r="O11" s="10"/>
      <c r="P11" s="10"/>
      <c r="Q11" s="10"/>
      <c r="R11" s="10"/>
      <c r="S11" s="10"/>
      <c r="T11" s="10"/>
      <c r="U11" s="10"/>
      <c r="V11" s="10"/>
      <c r="W11" s="10"/>
      <c r="X11" s="10"/>
      <c r="Y11" s="10"/>
      <c r="Z11" s="10"/>
    </row>
    <row r="12" ht="12.75" customHeight="1">
      <c r="A12" s="52"/>
      <c r="B12" s="53">
        <v>4.0</v>
      </c>
      <c r="C12" s="54" t="s">
        <v>50</v>
      </c>
      <c r="D12" s="55" t="s">
        <v>43</v>
      </c>
      <c r="E12" s="54" t="s">
        <v>51</v>
      </c>
      <c r="F12" s="56" t="s">
        <v>45</v>
      </c>
      <c r="G12" s="57"/>
      <c r="H12" s="10"/>
      <c r="I12" s="10"/>
      <c r="J12" s="10"/>
      <c r="K12" s="10"/>
      <c r="L12" s="10"/>
      <c r="M12" s="10"/>
      <c r="N12" s="10"/>
      <c r="O12" s="10"/>
      <c r="P12" s="10"/>
      <c r="Q12" s="10"/>
      <c r="R12" s="10"/>
      <c r="S12" s="10"/>
      <c r="T12" s="10"/>
      <c r="U12" s="10"/>
      <c r="V12" s="10"/>
      <c r="W12" s="10"/>
      <c r="X12" s="10"/>
      <c r="Y12" s="10"/>
      <c r="Z12" s="10"/>
    </row>
    <row r="13" ht="12.75" customHeight="1">
      <c r="A13" s="52"/>
      <c r="B13" s="53">
        <v>5.0</v>
      </c>
      <c r="C13" s="54" t="s">
        <v>52</v>
      </c>
      <c r="D13" s="55" t="s">
        <v>43</v>
      </c>
      <c r="E13" s="54" t="s">
        <v>53</v>
      </c>
      <c r="F13" s="56" t="s">
        <v>45</v>
      </c>
      <c r="G13" s="57"/>
      <c r="H13" s="10"/>
      <c r="I13" s="10"/>
      <c r="J13" s="10"/>
      <c r="K13" s="10"/>
      <c r="L13" s="10"/>
      <c r="M13" s="10"/>
      <c r="N13" s="10"/>
      <c r="O13" s="10"/>
      <c r="P13" s="10"/>
      <c r="Q13" s="10"/>
      <c r="R13" s="10"/>
      <c r="S13" s="10"/>
      <c r="T13" s="10"/>
      <c r="U13" s="10"/>
      <c r="V13" s="10"/>
      <c r="W13" s="10"/>
      <c r="X13" s="10"/>
      <c r="Y13" s="10"/>
      <c r="Z13" s="10"/>
    </row>
    <row r="14" ht="12.75" customHeight="1">
      <c r="A14" s="52"/>
      <c r="B14" s="53">
        <v>6.0</v>
      </c>
      <c r="C14" s="54" t="s">
        <v>54</v>
      </c>
      <c r="D14" s="55" t="s">
        <v>43</v>
      </c>
      <c r="E14" s="54" t="s">
        <v>55</v>
      </c>
      <c r="F14" s="56" t="s">
        <v>45</v>
      </c>
      <c r="G14" s="57"/>
      <c r="H14" s="10"/>
      <c r="I14" s="10"/>
      <c r="J14" s="10"/>
      <c r="K14" s="10"/>
      <c r="L14" s="10"/>
      <c r="M14" s="10"/>
      <c r="N14" s="10"/>
      <c r="O14" s="10"/>
      <c r="P14" s="10"/>
      <c r="Q14" s="10"/>
      <c r="R14" s="10"/>
      <c r="S14" s="10"/>
      <c r="T14" s="10"/>
      <c r="U14" s="10"/>
      <c r="V14" s="10"/>
      <c r="W14" s="10"/>
      <c r="X14" s="10"/>
      <c r="Y14" s="10"/>
      <c r="Z14" s="10"/>
    </row>
    <row r="15" ht="12.75" customHeight="1">
      <c r="A15" s="52"/>
      <c r="B15" s="53">
        <v>7.0</v>
      </c>
      <c r="C15" s="54" t="s">
        <v>56</v>
      </c>
      <c r="D15" s="55" t="s">
        <v>43</v>
      </c>
      <c r="E15" s="54" t="s">
        <v>57</v>
      </c>
      <c r="F15" s="56" t="s">
        <v>45</v>
      </c>
      <c r="G15" s="57"/>
      <c r="H15" s="10"/>
      <c r="I15" s="10"/>
      <c r="J15" s="10"/>
      <c r="K15" s="10"/>
      <c r="L15" s="10"/>
      <c r="M15" s="10"/>
      <c r="N15" s="10"/>
      <c r="O15" s="10"/>
      <c r="P15" s="10"/>
      <c r="Q15" s="10"/>
      <c r="R15" s="10"/>
      <c r="S15" s="10"/>
      <c r="T15" s="10"/>
      <c r="U15" s="10"/>
      <c r="V15" s="10"/>
      <c r="W15" s="10"/>
      <c r="X15" s="10"/>
      <c r="Y15" s="10"/>
      <c r="Z15" s="10"/>
    </row>
    <row r="16" ht="12.75" customHeight="1">
      <c r="A16" s="52"/>
      <c r="B16" s="53">
        <v>8.0</v>
      </c>
      <c r="C16" s="54" t="s">
        <v>58</v>
      </c>
      <c r="D16" s="55" t="s">
        <v>43</v>
      </c>
      <c r="E16" s="54" t="s">
        <v>59</v>
      </c>
      <c r="F16" s="56" t="s">
        <v>45</v>
      </c>
      <c r="G16" s="57"/>
      <c r="H16" s="10"/>
      <c r="I16" s="10"/>
      <c r="J16" s="10"/>
      <c r="K16" s="10"/>
      <c r="L16" s="10"/>
      <c r="M16" s="10"/>
      <c r="N16" s="10"/>
      <c r="O16" s="10"/>
      <c r="P16" s="10"/>
      <c r="Q16" s="10"/>
      <c r="R16" s="10"/>
      <c r="S16" s="10"/>
      <c r="T16" s="10"/>
      <c r="U16" s="10"/>
      <c r="V16" s="10"/>
      <c r="W16" s="10"/>
      <c r="X16" s="10"/>
      <c r="Y16" s="10"/>
      <c r="Z16" s="10"/>
    </row>
    <row r="17" ht="12.75" customHeight="1">
      <c r="A17" s="52"/>
      <c r="B17" s="53">
        <v>9.0</v>
      </c>
      <c r="C17" s="54" t="s">
        <v>60</v>
      </c>
      <c r="D17" s="55" t="s">
        <v>43</v>
      </c>
      <c r="E17" s="54" t="s">
        <v>61</v>
      </c>
      <c r="F17" s="56" t="s">
        <v>45</v>
      </c>
      <c r="G17" s="57"/>
      <c r="H17" s="10"/>
      <c r="I17" s="10"/>
      <c r="J17" s="10"/>
      <c r="K17" s="10"/>
      <c r="L17" s="10"/>
      <c r="M17" s="10"/>
      <c r="N17" s="10"/>
      <c r="O17" s="10"/>
      <c r="P17" s="10"/>
      <c r="Q17" s="10"/>
      <c r="R17" s="10"/>
      <c r="S17" s="10"/>
      <c r="T17" s="10"/>
      <c r="U17" s="10"/>
      <c r="V17" s="10"/>
      <c r="W17" s="10"/>
      <c r="X17" s="10"/>
      <c r="Y17" s="10"/>
      <c r="Z17" s="10"/>
    </row>
    <row r="18" ht="12.75" customHeight="1">
      <c r="A18" s="52"/>
      <c r="B18" s="53">
        <v>10.0</v>
      </c>
      <c r="C18" s="54" t="s">
        <v>62</v>
      </c>
      <c r="D18" s="55" t="s">
        <v>43</v>
      </c>
      <c r="E18" s="54" t="s">
        <v>63</v>
      </c>
      <c r="F18" s="56" t="s">
        <v>45</v>
      </c>
      <c r="G18" s="57"/>
      <c r="H18" s="10"/>
      <c r="I18" s="10"/>
      <c r="J18" s="10"/>
      <c r="K18" s="10"/>
      <c r="L18" s="10"/>
      <c r="M18" s="10"/>
      <c r="N18" s="10"/>
      <c r="O18" s="10"/>
      <c r="P18" s="10"/>
      <c r="Q18" s="10"/>
      <c r="R18" s="10"/>
      <c r="S18" s="10"/>
      <c r="T18" s="10"/>
      <c r="U18" s="10"/>
      <c r="V18" s="10"/>
      <c r="W18" s="10"/>
      <c r="X18" s="10"/>
      <c r="Y18" s="10"/>
      <c r="Z18" s="10"/>
    </row>
    <row r="19" ht="12.75" customHeight="1">
      <c r="A19" s="52"/>
      <c r="B19" s="53">
        <v>11.0</v>
      </c>
      <c r="C19" s="54" t="s">
        <v>64</v>
      </c>
      <c r="D19" s="55" t="s">
        <v>43</v>
      </c>
      <c r="E19" s="54" t="s">
        <v>65</v>
      </c>
      <c r="F19" s="56" t="s">
        <v>45</v>
      </c>
      <c r="G19" s="57"/>
      <c r="H19" s="10"/>
      <c r="I19" s="10"/>
      <c r="J19" s="10"/>
      <c r="K19" s="10"/>
      <c r="L19" s="10"/>
      <c r="M19" s="10"/>
      <c r="N19" s="10"/>
      <c r="O19" s="10"/>
      <c r="P19" s="10"/>
      <c r="Q19" s="10"/>
      <c r="R19" s="10"/>
      <c r="S19" s="10"/>
      <c r="T19" s="10"/>
      <c r="U19" s="10"/>
      <c r="V19" s="10"/>
      <c r="W19" s="10"/>
      <c r="X19" s="10"/>
      <c r="Y19" s="10"/>
      <c r="Z19" s="10"/>
    </row>
    <row r="20" ht="12.75" customHeight="1">
      <c r="A20" s="52"/>
      <c r="B20" s="53">
        <v>12.0</v>
      </c>
      <c r="C20" s="54" t="s">
        <v>66</v>
      </c>
      <c r="D20" s="55" t="s">
        <v>43</v>
      </c>
      <c r="E20" s="54" t="s">
        <v>67</v>
      </c>
      <c r="F20" s="56" t="s">
        <v>45</v>
      </c>
      <c r="G20" s="57"/>
      <c r="H20" s="10"/>
      <c r="I20" s="10"/>
      <c r="J20" s="10"/>
      <c r="K20" s="10"/>
      <c r="L20" s="10"/>
      <c r="M20" s="10"/>
      <c r="N20" s="10"/>
      <c r="O20" s="10"/>
      <c r="P20" s="10"/>
      <c r="Q20" s="10"/>
      <c r="R20" s="10"/>
      <c r="S20" s="10"/>
      <c r="T20" s="10"/>
      <c r="U20" s="10"/>
      <c r="V20" s="10"/>
      <c r="W20" s="10"/>
      <c r="X20" s="10"/>
      <c r="Y20" s="10"/>
      <c r="Z20" s="10"/>
    </row>
    <row r="21" ht="12.75" customHeight="1">
      <c r="A21" s="52"/>
      <c r="B21" s="53">
        <v>13.0</v>
      </c>
      <c r="C21" s="54" t="s">
        <v>68</v>
      </c>
      <c r="D21" s="55" t="s">
        <v>69</v>
      </c>
      <c r="E21" s="54" t="s">
        <v>70</v>
      </c>
      <c r="F21" s="56" t="s">
        <v>45</v>
      </c>
      <c r="G21" s="57"/>
      <c r="H21" s="10"/>
      <c r="I21" s="10"/>
      <c r="J21" s="10"/>
      <c r="K21" s="10"/>
      <c r="L21" s="10"/>
      <c r="M21" s="10"/>
      <c r="N21" s="10"/>
      <c r="O21" s="10"/>
      <c r="P21" s="10"/>
      <c r="Q21" s="10"/>
      <c r="R21" s="10"/>
      <c r="S21" s="10"/>
      <c r="T21" s="10"/>
      <c r="U21" s="10"/>
      <c r="V21" s="10"/>
      <c r="W21" s="10"/>
      <c r="X21" s="10"/>
      <c r="Y21" s="10"/>
      <c r="Z21" s="10"/>
    </row>
    <row r="22" ht="12.75" customHeight="1">
      <c r="A22" s="52"/>
      <c r="B22" s="53">
        <v>14.0</v>
      </c>
      <c r="C22" s="54" t="s">
        <v>71</v>
      </c>
      <c r="D22" s="55" t="s">
        <v>69</v>
      </c>
      <c r="E22" s="54" t="s">
        <v>72</v>
      </c>
      <c r="F22" s="56" t="s">
        <v>45</v>
      </c>
      <c r="G22" s="57"/>
      <c r="H22" s="10"/>
      <c r="I22" s="10"/>
      <c r="J22" s="10"/>
      <c r="K22" s="10"/>
      <c r="L22" s="10"/>
      <c r="M22" s="10"/>
      <c r="N22" s="10"/>
      <c r="O22" s="10"/>
      <c r="P22" s="10"/>
      <c r="Q22" s="10"/>
      <c r="R22" s="10"/>
      <c r="S22" s="10"/>
      <c r="T22" s="10"/>
      <c r="U22" s="10"/>
      <c r="V22" s="10"/>
      <c r="W22" s="10"/>
      <c r="X22" s="10"/>
      <c r="Y22" s="10"/>
      <c r="Z22" s="10"/>
    </row>
    <row r="23" ht="12.75" customHeight="1">
      <c r="A23" s="52"/>
      <c r="B23" s="53">
        <v>15.0</v>
      </c>
      <c r="C23" s="54" t="s">
        <v>73</v>
      </c>
      <c r="D23" s="55" t="s">
        <v>69</v>
      </c>
      <c r="E23" s="54" t="s">
        <v>74</v>
      </c>
      <c r="F23" s="56" t="s">
        <v>45</v>
      </c>
      <c r="G23" s="57"/>
      <c r="H23" s="10"/>
      <c r="I23" s="10"/>
      <c r="J23" s="10"/>
      <c r="K23" s="10"/>
      <c r="L23" s="10"/>
      <c r="M23" s="10"/>
      <c r="N23" s="10"/>
      <c r="O23" s="10"/>
      <c r="P23" s="10"/>
      <c r="Q23" s="10"/>
      <c r="R23" s="10"/>
      <c r="S23" s="10"/>
      <c r="T23" s="10"/>
      <c r="U23" s="10"/>
      <c r="V23" s="10"/>
      <c r="W23" s="10"/>
      <c r="X23" s="10"/>
      <c r="Y23" s="10"/>
      <c r="Z23" s="10"/>
    </row>
    <row r="24" ht="12.75" customHeight="1">
      <c r="A24" s="52"/>
      <c r="B24" s="53">
        <v>16.0</v>
      </c>
      <c r="C24" s="54" t="s">
        <v>75</v>
      </c>
      <c r="D24" s="55" t="s">
        <v>69</v>
      </c>
      <c r="E24" s="54" t="s">
        <v>76</v>
      </c>
      <c r="F24" s="56" t="s">
        <v>45</v>
      </c>
      <c r="G24" s="57"/>
      <c r="H24" s="10"/>
      <c r="I24" s="10"/>
      <c r="J24" s="10"/>
      <c r="K24" s="10"/>
      <c r="L24" s="10"/>
      <c r="M24" s="10"/>
      <c r="N24" s="10"/>
      <c r="O24" s="10"/>
      <c r="P24" s="10"/>
      <c r="Q24" s="10"/>
      <c r="R24" s="10"/>
      <c r="S24" s="10"/>
      <c r="T24" s="10"/>
      <c r="U24" s="10"/>
      <c r="V24" s="10"/>
      <c r="W24" s="10"/>
      <c r="X24" s="10"/>
      <c r="Y24" s="10"/>
      <c r="Z24" s="10"/>
    </row>
    <row r="25" ht="12.75" customHeight="1">
      <c r="A25" s="52"/>
      <c r="B25" s="53">
        <v>17.0</v>
      </c>
      <c r="C25" s="54" t="s">
        <v>77</v>
      </c>
      <c r="D25" s="55" t="s">
        <v>69</v>
      </c>
      <c r="E25" s="54" t="s">
        <v>78</v>
      </c>
      <c r="F25" s="56" t="s">
        <v>45</v>
      </c>
      <c r="G25" s="57"/>
      <c r="H25" s="10"/>
      <c r="I25" s="10"/>
      <c r="J25" s="10"/>
      <c r="K25" s="10"/>
      <c r="L25" s="10"/>
      <c r="M25" s="10"/>
      <c r="N25" s="10"/>
      <c r="O25" s="10"/>
      <c r="P25" s="10"/>
      <c r="Q25" s="10"/>
      <c r="R25" s="10"/>
      <c r="S25" s="10"/>
      <c r="T25" s="10"/>
      <c r="U25" s="10"/>
      <c r="V25" s="10"/>
      <c r="W25" s="10"/>
      <c r="X25" s="10"/>
      <c r="Y25" s="10"/>
      <c r="Z25" s="10"/>
    </row>
    <row r="26" ht="12.75" customHeight="1">
      <c r="A26" s="52"/>
      <c r="B26" s="53">
        <v>18.0</v>
      </c>
      <c r="C26" s="54" t="s">
        <v>79</v>
      </c>
      <c r="D26" s="55" t="s">
        <v>69</v>
      </c>
      <c r="E26" s="54" t="s">
        <v>80</v>
      </c>
      <c r="F26" s="56" t="s">
        <v>45</v>
      </c>
      <c r="G26" s="57"/>
      <c r="H26" s="10"/>
      <c r="I26" s="10"/>
      <c r="J26" s="10"/>
      <c r="K26" s="10"/>
      <c r="L26" s="10"/>
      <c r="M26" s="10"/>
      <c r="N26" s="10"/>
      <c r="O26" s="10"/>
      <c r="P26" s="10"/>
      <c r="Q26" s="10"/>
      <c r="R26" s="10"/>
      <c r="S26" s="10"/>
      <c r="T26" s="10"/>
      <c r="U26" s="10"/>
      <c r="V26" s="10"/>
      <c r="W26" s="10"/>
      <c r="X26" s="10"/>
      <c r="Y26" s="10"/>
      <c r="Z26" s="10"/>
    </row>
    <row r="27" ht="12.75" customHeight="1">
      <c r="A27" s="52"/>
      <c r="B27" s="53">
        <v>19.0</v>
      </c>
      <c r="C27" s="54" t="s">
        <v>81</v>
      </c>
      <c r="D27" s="55" t="s">
        <v>82</v>
      </c>
      <c r="E27" s="54" t="s">
        <v>83</v>
      </c>
      <c r="F27" s="56" t="s">
        <v>45</v>
      </c>
      <c r="G27" s="57"/>
      <c r="H27" s="10"/>
      <c r="I27" s="10"/>
      <c r="J27" s="10"/>
      <c r="K27" s="10"/>
      <c r="L27" s="10"/>
      <c r="M27" s="10"/>
      <c r="N27" s="10"/>
      <c r="O27" s="10"/>
      <c r="P27" s="10"/>
      <c r="Q27" s="10"/>
      <c r="R27" s="10"/>
      <c r="S27" s="10"/>
      <c r="T27" s="10"/>
      <c r="U27" s="10"/>
      <c r="V27" s="10"/>
      <c r="W27" s="10"/>
      <c r="X27" s="10"/>
      <c r="Y27" s="10"/>
      <c r="Z27" s="10"/>
    </row>
    <row r="28" ht="12.75" customHeight="1">
      <c r="A28" s="52"/>
      <c r="B28" s="53">
        <v>20.0</v>
      </c>
      <c r="C28" s="54" t="s">
        <v>84</v>
      </c>
      <c r="D28" s="55" t="s">
        <v>82</v>
      </c>
      <c r="E28" s="54" t="s">
        <v>85</v>
      </c>
      <c r="F28" s="56" t="s">
        <v>45</v>
      </c>
      <c r="G28" s="57"/>
      <c r="H28" s="10"/>
      <c r="I28" s="10"/>
      <c r="J28" s="10"/>
      <c r="K28" s="10"/>
      <c r="L28" s="10"/>
      <c r="M28" s="10"/>
      <c r="N28" s="10"/>
      <c r="O28" s="10"/>
      <c r="P28" s="10"/>
      <c r="Q28" s="10"/>
      <c r="R28" s="10"/>
      <c r="S28" s="10"/>
      <c r="T28" s="10"/>
      <c r="U28" s="10"/>
      <c r="V28" s="10"/>
      <c r="W28" s="10"/>
      <c r="X28" s="10"/>
      <c r="Y28" s="10"/>
      <c r="Z28" s="10"/>
    </row>
    <row r="29" ht="12.75" customHeight="1">
      <c r="A29" s="52"/>
      <c r="B29" s="53">
        <v>21.0</v>
      </c>
      <c r="C29" s="54" t="s">
        <v>86</v>
      </c>
      <c r="D29" s="55" t="s">
        <v>82</v>
      </c>
      <c r="E29" s="54" t="s">
        <v>87</v>
      </c>
      <c r="F29" s="56" t="s">
        <v>45</v>
      </c>
      <c r="G29" s="57"/>
      <c r="H29" s="10"/>
      <c r="I29" s="10"/>
      <c r="J29" s="10"/>
      <c r="K29" s="10"/>
      <c r="L29" s="10"/>
      <c r="M29" s="10"/>
      <c r="N29" s="10"/>
      <c r="O29" s="10"/>
      <c r="P29" s="10"/>
      <c r="Q29" s="10"/>
      <c r="R29" s="10"/>
      <c r="S29" s="10"/>
      <c r="T29" s="10"/>
      <c r="U29" s="10"/>
      <c r="V29" s="10"/>
      <c r="W29" s="10"/>
      <c r="X29" s="10"/>
      <c r="Y29" s="10"/>
      <c r="Z29" s="10"/>
    </row>
    <row r="30" ht="12.75" customHeight="1">
      <c r="A30" s="52"/>
      <c r="B30" s="53">
        <v>23.0</v>
      </c>
      <c r="C30" s="54" t="s">
        <v>88</v>
      </c>
      <c r="D30" s="55" t="s">
        <v>82</v>
      </c>
      <c r="E30" s="54" t="s">
        <v>89</v>
      </c>
      <c r="F30" s="56" t="s">
        <v>45</v>
      </c>
      <c r="G30" s="57"/>
      <c r="H30" s="10"/>
      <c r="I30" s="10"/>
      <c r="J30" s="10"/>
      <c r="K30" s="10"/>
      <c r="L30" s="10"/>
      <c r="M30" s="10"/>
      <c r="N30" s="10"/>
      <c r="O30" s="10"/>
      <c r="P30" s="10"/>
      <c r="Q30" s="10"/>
      <c r="R30" s="10"/>
      <c r="S30" s="10"/>
      <c r="T30" s="10"/>
      <c r="U30" s="10"/>
      <c r="V30" s="10"/>
      <c r="W30" s="10"/>
      <c r="X30" s="10"/>
      <c r="Y30" s="10"/>
      <c r="Z30" s="10"/>
    </row>
    <row r="31" ht="12.75" customHeight="1">
      <c r="A31" s="52"/>
      <c r="B31" s="53">
        <v>24.0</v>
      </c>
      <c r="C31" s="54" t="s">
        <v>90</v>
      </c>
      <c r="D31" s="55" t="s">
        <v>82</v>
      </c>
      <c r="E31" s="54" t="s">
        <v>91</v>
      </c>
      <c r="F31" s="56" t="s">
        <v>45</v>
      </c>
      <c r="G31" s="57"/>
      <c r="H31" s="10"/>
      <c r="I31" s="10"/>
      <c r="J31" s="10"/>
      <c r="K31" s="10"/>
      <c r="L31" s="10"/>
      <c r="M31" s="10"/>
      <c r="N31" s="10"/>
      <c r="O31" s="10"/>
      <c r="P31" s="10"/>
      <c r="Q31" s="10"/>
      <c r="R31" s="10"/>
      <c r="S31" s="10"/>
      <c r="T31" s="10"/>
      <c r="U31" s="10"/>
      <c r="V31" s="10"/>
      <c r="W31" s="10"/>
      <c r="X31" s="10"/>
      <c r="Y31" s="10"/>
      <c r="Z31" s="10"/>
    </row>
    <row r="32" ht="12.75" customHeight="1">
      <c r="A32" s="52"/>
      <c r="B32" s="53">
        <v>26.0</v>
      </c>
      <c r="C32" s="54" t="s">
        <v>92</v>
      </c>
      <c r="D32" s="55" t="s">
        <v>82</v>
      </c>
      <c r="E32" s="54" t="s">
        <v>93</v>
      </c>
      <c r="F32" s="56" t="s">
        <v>45</v>
      </c>
      <c r="G32" s="57"/>
      <c r="H32" s="10"/>
      <c r="I32" s="10"/>
      <c r="J32" s="10"/>
      <c r="K32" s="10"/>
      <c r="L32" s="10"/>
      <c r="M32" s="10"/>
      <c r="N32" s="10"/>
      <c r="O32" s="10"/>
      <c r="P32" s="10"/>
      <c r="Q32" s="10"/>
      <c r="R32" s="10"/>
      <c r="S32" s="10"/>
      <c r="T32" s="10"/>
      <c r="U32" s="10"/>
      <c r="V32" s="10"/>
      <c r="W32" s="10"/>
      <c r="X32" s="10"/>
      <c r="Y32" s="10"/>
      <c r="Z32" s="10"/>
    </row>
    <row r="33" ht="12.75" customHeight="1">
      <c r="A33" s="52"/>
      <c r="B33" s="53">
        <v>27.0</v>
      </c>
      <c r="C33" s="54" t="s">
        <v>94</v>
      </c>
      <c r="D33" s="55" t="s">
        <v>82</v>
      </c>
      <c r="E33" s="54" t="s">
        <v>95</v>
      </c>
      <c r="F33" s="56" t="s">
        <v>45</v>
      </c>
      <c r="G33" s="57"/>
      <c r="H33" s="10"/>
      <c r="I33" s="10"/>
      <c r="J33" s="10"/>
      <c r="K33" s="10"/>
      <c r="L33" s="10"/>
      <c r="M33" s="10"/>
      <c r="N33" s="10"/>
      <c r="O33" s="10"/>
      <c r="P33" s="10"/>
      <c r="Q33" s="10"/>
      <c r="R33" s="10"/>
      <c r="S33" s="10"/>
      <c r="T33" s="10"/>
      <c r="U33" s="10"/>
      <c r="V33" s="10"/>
      <c r="W33" s="10"/>
      <c r="X33" s="10"/>
      <c r="Y33" s="10"/>
      <c r="Z33" s="10"/>
    </row>
    <row r="34" ht="12.75" customHeight="1">
      <c r="A34" s="52"/>
      <c r="B34" s="53">
        <v>28.0</v>
      </c>
      <c r="C34" s="54" t="s">
        <v>96</v>
      </c>
      <c r="D34" s="55" t="s">
        <v>82</v>
      </c>
      <c r="E34" s="54" t="s">
        <v>97</v>
      </c>
      <c r="F34" s="56" t="s">
        <v>45</v>
      </c>
      <c r="G34" s="57"/>
      <c r="H34" s="10"/>
      <c r="I34" s="10"/>
      <c r="J34" s="10"/>
      <c r="K34" s="10"/>
      <c r="L34" s="10"/>
      <c r="M34" s="10"/>
      <c r="N34" s="10"/>
      <c r="O34" s="10"/>
      <c r="P34" s="10"/>
      <c r="Q34" s="10"/>
      <c r="R34" s="10"/>
      <c r="S34" s="10"/>
      <c r="T34" s="10"/>
      <c r="U34" s="10"/>
      <c r="V34" s="10"/>
      <c r="W34" s="10"/>
      <c r="X34" s="10"/>
      <c r="Y34" s="10"/>
      <c r="Z34" s="10"/>
    </row>
    <row r="35" ht="12.75" customHeight="1">
      <c r="A35" s="52"/>
      <c r="B35" s="53">
        <v>29.0</v>
      </c>
      <c r="C35" s="54" t="s">
        <v>98</v>
      </c>
      <c r="D35" s="55" t="s">
        <v>82</v>
      </c>
      <c r="E35" s="54" t="s">
        <v>99</v>
      </c>
      <c r="F35" s="56" t="s">
        <v>45</v>
      </c>
      <c r="G35" s="57"/>
      <c r="H35" s="10"/>
      <c r="I35" s="10"/>
      <c r="J35" s="10"/>
      <c r="K35" s="10"/>
      <c r="L35" s="10"/>
      <c r="M35" s="10"/>
      <c r="N35" s="10"/>
      <c r="O35" s="10"/>
      <c r="P35" s="10"/>
      <c r="Q35" s="10"/>
      <c r="R35" s="10"/>
      <c r="S35" s="10"/>
      <c r="T35" s="10"/>
      <c r="U35" s="10"/>
      <c r="V35" s="10"/>
      <c r="W35" s="10"/>
      <c r="X35" s="10"/>
      <c r="Y35" s="10"/>
      <c r="Z35" s="10"/>
    </row>
    <row r="36" ht="12.75" customHeight="1">
      <c r="A36" s="52"/>
      <c r="B36" s="53">
        <v>31.0</v>
      </c>
      <c r="C36" s="54" t="s">
        <v>100</v>
      </c>
      <c r="D36" s="55" t="s">
        <v>82</v>
      </c>
      <c r="E36" s="54" t="s">
        <v>101</v>
      </c>
      <c r="F36" s="56" t="s">
        <v>45</v>
      </c>
      <c r="G36" s="57"/>
      <c r="H36" s="10"/>
      <c r="I36" s="10"/>
      <c r="J36" s="10"/>
      <c r="K36" s="10"/>
      <c r="L36" s="10"/>
      <c r="M36" s="10"/>
      <c r="N36" s="10"/>
      <c r="O36" s="10"/>
      <c r="P36" s="10"/>
      <c r="Q36" s="10"/>
      <c r="R36" s="10"/>
      <c r="S36" s="10"/>
      <c r="T36" s="10"/>
      <c r="U36" s="10"/>
      <c r="V36" s="10"/>
      <c r="W36" s="10"/>
      <c r="X36" s="10"/>
      <c r="Y36" s="10"/>
      <c r="Z36" s="10"/>
    </row>
    <row r="37" ht="12.75" customHeight="1">
      <c r="A37" s="52"/>
      <c r="B37" s="53">
        <v>32.0</v>
      </c>
      <c r="C37" s="56" t="s">
        <v>102</v>
      </c>
      <c r="D37" s="55" t="s">
        <v>103</v>
      </c>
      <c r="E37" s="54" t="s">
        <v>104</v>
      </c>
      <c r="F37" s="56" t="s">
        <v>45</v>
      </c>
      <c r="G37" s="57"/>
      <c r="H37" s="10"/>
      <c r="I37" s="10"/>
      <c r="J37" s="10"/>
      <c r="K37" s="10"/>
      <c r="L37" s="10"/>
      <c r="M37" s="10"/>
      <c r="N37" s="10"/>
      <c r="O37" s="10"/>
      <c r="P37" s="10"/>
      <c r="Q37" s="10"/>
      <c r="R37" s="10"/>
      <c r="S37" s="10"/>
      <c r="T37" s="10"/>
      <c r="U37" s="10"/>
      <c r="V37" s="10"/>
      <c r="W37" s="10"/>
      <c r="X37" s="10"/>
      <c r="Y37" s="10"/>
      <c r="Z37" s="10"/>
    </row>
    <row r="38" ht="12.75" customHeight="1">
      <c r="A38" s="52"/>
      <c r="B38" s="53">
        <v>33.0</v>
      </c>
      <c r="C38" s="54" t="s">
        <v>105</v>
      </c>
      <c r="D38" s="55" t="s">
        <v>103</v>
      </c>
      <c r="E38" s="54" t="s">
        <v>106</v>
      </c>
      <c r="F38" s="56" t="s">
        <v>45</v>
      </c>
      <c r="G38" s="57"/>
      <c r="H38" s="10"/>
      <c r="I38" s="10"/>
      <c r="J38" s="10"/>
      <c r="K38" s="10"/>
      <c r="L38" s="10"/>
      <c r="M38" s="10"/>
      <c r="N38" s="10"/>
      <c r="O38" s="10"/>
      <c r="P38" s="10"/>
      <c r="Q38" s="10"/>
      <c r="R38" s="10"/>
      <c r="S38" s="10"/>
      <c r="T38" s="10"/>
      <c r="U38" s="10"/>
      <c r="V38" s="10"/>
      <c r="W38" s="10"/>
      <c r="X38" s="10"/>
      <c r="Y38" s="10"/>
      <c r="Z38" s="10"/>
    </row>
    <row r="39" ht="12.75" customHeight="1">
      <c r="A39" s="52"/>
      <c r="B39" s="53">
        <v>34.0</v>
      </c>
      <c r="C39" s="54" t="s">
        <v>107</v>
      </c>
      <c r="D39" s="55" t="s">
        <v>103</v>
      </c>
      <c r="E39" s="54" t="s">
        <v>108</v>
      </c>
      <c r="F39" s="56" t="s">
        <v>45</v>
      </c>
      <c r="G39" s="57"/>
      <c r="H39" s="10"/>
      <c r="I39" s="10"/>
      <c r="J39" s="10"/>
      <c r="K39" s="10"/>
      <c r="L39" s="10"/>
      <c r="M39" s="10"/>
      <c r="N39" s="10"/>
      <c r="O39" s="10"/>
      <c r="P39" s="10"/>
      <c r="Q39" s="10"/>
      <c r="R39" s="10"/>
      <c r="S39" s="10"/>
      <c r="T39" s="10"/>
      <c r="U39" s="10"/>
      <c r="V39" s="10"/>
      <c r="W39" s="10"/>
      <c r="X39" s="10"/>
      <c r="Y39" s="10"/>
      <c r="Z39" s="10"/>
    </row>
    <row r="40" ht="12.75" customHeight="1">
      <c r="A40" s="52"/>
      <c r="B40" s="53">
        <v>35.0</v>
      </c>
      <c r="C40" s="54" t="s">
        <v>109</v>
      </c>
      <c r="D40" s="55" t="s">
        <v>103</v>
      </c>
      <c r="E40" s="54" t="s">
        <v>110</v>
      </c>
      <c r="F40" s="56" t="s">
        <v>45</v>
      </c>
      <c r="G40" s="57"/>
      <c r="H40" s="10"/>
      <c r="I40" s="10"/>
      <c r="J40" s="10"/>
      <c r="K40" s="10"/>
      <c r="L40" s="10"/>
      <c r="M40" s="10"/>
      <c r="N40" s="10"/>
      <c r="O40" s="10"/>
      <c r="P40" s="10"/>
      <c r="Q40" s="10"/>
      <c r="R40" s="10"/>
      <c r="S40" s="10"/>
      <c r="T40" s="10"/>
      <c r="U40" s="10"/>
      <c r="V40" s="10"/>
      <c r="W40" s="10"/>
      <c r="X40" s="10"/>
      <c r="Y40" s="10"/>
      <c r="Z40" s="10"/>
    </row>
    <row r="41" ht="12.75" customHeight="1">
      <c r="A41" s="52"/>
      <c r="B41" s="53">
        <v>36.0</v>
      </c>
      <c r="C41" s="54" t="s">
        <v>111</v>
      </c>
      <c r="D41" s="55" t="s">
        <v>103</v>
      </c>
      <c r="E41" s="54" t="s">
        <v>112</v>
      </c>
      <c r="F41" s="56" t="s">
        <v>45</v>
      </c>
      <c r="G41" s="57"/>
      <c r="H41" s="10"/>
      <c r="I41" s="10"/>
      <c r="J41" s="10"/>
      <c r="K41" s="10"/>
      <c r="L41" s="10"/>
      <c r="M41" s="10"/>
      <c r="N41" s="10"/>
      <c r="O41" s="10"/>
      <c r="P41" s="10"/>
      <c r="Q41" s="10"/>
      <c r="R41" s="10"/>
      <c r="S41" s="10"/>
      <c r="T41" s="10"/>
      <c r="U41" s="10"/>
      <c r="V41" s="10"/>
      <c r="W41" s="10"/>
      <c r="X41" s="10"/>
      <c r="Y41" s="10"/>
      <c r="Z41" s="10"/>
    </row>
    <row r="42" ht="12.75" customHeight="1">
      <c r="A42" s="52"/>
      <c r="B42" s="53">
        <v>37.0</v>
      </c>
      <c r="C42" s="54" t="s">
        <v>113</v>
      </c>
      <c r="D42" s="55" t="s">
        <v>103</v>
      </c>
      <c r="E42" s="54" t="s">
        <v>114</v>
      </c>
      <c r="F42" s="56" t="s">
        <v>45</v>
      </c>
      <c r="G42" s="57"/>
      <c r="H42" s="10"/>
      <c r="I42" s="10"/>
      <c r="J42" s="10"/>
      <c r="K42" s="10"/>
      <c r="L42" s="10"/>
      <c r="M42" s="10"/>
      <c r="N42" s="10"/>
      <c r="O42" s="10"/>
      <c r="P42" s="10"/>
      <c r="Q42" s="10"/>
      <c r="R42" s="10"/>
      <c r="S42" s="10"/>
      <c r="T42" s="10"/>
      <c r="U42" s="10"/>
      <c r="V42" s="10"/>
      <c r="W42" s="10"/>
      <c r="X42" s="10"/>
      <c r="Y42" s="10"/>
      <c r="Z42" s="10"/>
    </row>
    <row r="43" ht="12.75" customHeight="1">
      <c r="A43" s="52"/>
      <c r="B43" s="53">
        <v>38.0</v>
      </c>
      <c r="C43" s="56" t="s">
        <v>115</v>
      </c>
      <c r="D43" s="55" t="s">
        <v>116</v>
      </c>
      <c r="E43" s="54" t="s">
        <v>117</v>
      </c>
      <c r="F43" s="56" t="s">
        <v>45</v>
      </c>
      <c r="G43" s="57"/>
      <c r="H43" s="10"/>
      <c r="I43" s="10"/>
      <c r="J43" s="10"/>
      <c r="K43" s="10"/>
      <c r="L43" s="10"/>
      <c r="M43" s="10"/>
      <c r="N43" s="10"/>
      <c r="O43" s="10"/>
      <c r="P43" s="10"/>
      <c r="Q43" s="10"/>
      <c r="R43" s="10"/>
      <c r="S43" s="10"/>
      <c r="T43" s="10"/>
      <c r="U43" s="10"/>
      <c r="V43" s="10"/>
      <c r="W43" s="10"/>
      <c r="X43" s="10"/>
      <c r="Y43" s="10"/>
      <c r="Z43" s="10"/>
    </row>
    <row r="44" ht="12.75" customHeight="1">
      <c r="A44" s="52"/>
      <c r="B44" s="53">
        <v>39.0</v>
      </c>
      <c r="C44" s="54" t="s">
        <v>118</v>
      </c>
      <c r="D44" s="55" t="s">
        <v>116</v>
      </c>
      <c r="E44" s="54" t="s">
        <v>119</v>
      </c>
      <c r="F44" s="56" t="s">
        <v>45</v>
      </c>
      <c r="G44" s="57"/>
      <c r="H44" s="10"/>
      <c r="I44" s="10"/>
      <c r="J44" s="10"/>
      <c r="K44" s="10"/>
      <c r="L44" s="10"/>
      <c r="M44" s="10"/>
      <c r="N44" s="10"/>
      <c r="O44" s="10"/>
      <c r="P44" s="10"/>
      <c r="Q44" s="10"/>
      <c r="R44" s="10"/>
      <c r="S44" s="10"/>
      <c r="T44" s="10"/>
      <c r="U44" s="10"/>
      <c r="V44" s="10"/>
      <c r="W44" s="10"/>
      <c r="X44" s="10"/>
      <c r="Y44" s="10"/>
      <c r="Z44" s="10"/>
    </row>
    <row r="45" ht="12.75" customHeight="1">
      <c r="A45" s="52"/>
      <c r="B45" s="53">
        <v>40.0</v>
      </c>
      <c r="C45" s="54" t="s">
        <v>120</v>
      </c>
      <c r="D45" s="55" t="s">
        <v>116</v>
      </c>
      <c r="E45" s="54" t="s">
        <v>121</v>
      </c>
      <c r="F45" s="56" t="s">
        <v>45</v>
      </c>
      <c r="G45" s="57"/>
      <c r="H45" s="10"/>
      <c r="I45" s="10"/>
      <c r="J45" s="10"/>
      <c r="K45" s="10"/>
      <c r="L45" s="10"/>
      <c r="M45" s="10"/>
      <c r="N45" s="10"/>
      <c r="O45" s="10"/>
      <c r="P45" s="10"/>
      <c r="Q45" s="10"/>
      <c r="R45" s="10"/>
      <c r="S45" s="10"/>
      <c r="T45" s="10"/>
      <c r="U45" s="10"/>
      <c r="V45" s="10"/>
      <c r="W45" s="10"/>
      <c r="X45" s="10"/>
      <c r="Y45" s="10"/>
      <c r="Z45" s="10"/>
    </row>
    <row r="46" ht="12.75" customHeight="1">
      <c r="A46" s="52"/>
      <c r="B46" s="53">
        <v>41.0</v>
      </c>
      <c r="C46" s="56" t="s">
        <v>122</v>
      </c>
      <c r="D46" s="55" t="s">
        <v>116</v>
      </c>
      <c r="E46" s="54" t="s">
        <v>123</v>
      </c>
      <c r="F46" s="56" t="s">
        <v>45</v>
      </c>
      <c r="G46" s="57"/>
      <c r="H46" s="10"/>
      <c r="I46" s="10"/>
      <c r="J46" s="10"/>
      <c r="K46" s="10"/>
      <c r="L46" s="10"/>
      <c r="M46" s="10"/>
      <c r="N46" s="10"/>
      <c r="O46" s="10"/>
      <c r="P46" s="10"/>
      <c r="Q46" s="10"/>
      <c r="R46" s="10"/>
      <c r="S46" s="10"/>
      <c r="T46" s="10"/>
      <c r="U46" s="10"/>
      <c r="V46" s="10"/>
      <c r="W46" s="10"/>
      <c r="X46" s="10"/>
      <c r="Y46" s="10"/>
      <c r="Z46" s="10"/>
    </row>
    <row r="47" ht="12.75" customHeight="1">
      <c r="A47" s="52"/>
      <c r="B47" s="53">
        <v>42.0</v>
      </c>
      <c r="C47" s="54" t="s">
        <v>124</v>
      </c>
      <c r="D47" s="55" t="s">
        <v>116</v>
      </c>
      <c r="E47" s="54" t="s">
        <v>125</v>
      </c>
      <c r="F47" s="56" t="s">
        <v>45</v>
      </c>
      <c r="G47" s="57"/>
      <c r="H47" s="10"/>
      <c r="I47" s="10"/>
      <c r="J47" s="10"/>
      <c r="K47" s="10"/>
      <c r="L47" s="10"/>
      <c r="M47" s="10"/>
      <c r="N47" s="10"/>
      <c r="O47" s="10"/>
      <c r="P47" s="10"/>
      <c r="Q47" s="10"/>
      <c r="R47" s="10"/>
      <c r="S47" s="10"/>
      <c r="T47" s="10"/>
      <c r="U47" s="10"/>
      <c r="V47" s="10"/>
      <c r="W47" s="10"/>
      <c r="X47" s="10"/>
      <c r="Y47" s="10"/>
      <c r="Z47" s="10"/>
    </row>
    <row r="48" ht="12.75" customHeight="1">
      <c r="A48" s="52"/>
      <c r="B48" s="53">
        <v>43.0</v>
      </c>
      <c r="C48" s="54" t="s">
        <v>126</v>
      </c>
      <c r="D48" s="55" t="s">
        <v>116</v>
      </c>
      <c r="E48" s="54" t="s">
        <v>127</v>
      </c>
      <c r="F48" s="56" t="s">
        <v>45</v>
      </c>
      <c r="G48" s="57"/>
      <c r="H48" s="10"/>
      <c r="I48" s="10"/>
      <c r="J48" s="10"/>
      <c r="K48" s="10"/>
      <c r="L48" s="10"/>
      <c r="M48" s="10"/>
      <c r="N48" s="10"/>
      <c r="O48" s="10"/>
      <c r="P48" s="10"/>
      <c r="Q48" s="10"/>
      <c r="R48" s="10"/>
      <c r="S48" s="10"/>
      <c r="T48" s="10"/>
      <c r="U48" s="10"/>
      <c r="V48" s="10"/>
      <c r="W48" s="10"/>
      <c r="X48" s="10"/>
      <c r="Y48" s="10"/>
      <c r="Z48" s="10"/>
    </row>
    <row r="49" ht="12.75" customHeight="1">
      <c r="A49" s="52"/>
      <c r="B49" s="53">
        <v>44.0</v>
      </c>
      <c r="C49" s="56" t="s">
        <v>128</v>
      </c>
      <c r="D49" s="55" t="s">
        <v>129</v>
      </c>
      <c r="E49" s="54" t="s">
        <v>130</v>
      </c>
      <c r="F49" s="56" t="s">
        <v>45</v>
      </c>
      <c r="G49" s="57"/>
      <c r="H49" s="10"/>
      <c r="I49" s="10"/>
      <c r="J49" s="10"/>
      <c r="K49" s="10"/>
      <c r="L49" s="10"/>
      <c r="M49" s="10"/>
      <c r="N49" s="10"/>
      <c r="O49" s="10"/>
      <c r="P49" s="10"/>
      <c r="Q49" s="10"/>
      <c r="R49" s="10"/>
      <c r="S49" s="10"/>
      <c r="T49" s="10"/>
      <c r="U49" s="10"/>
      <c r="V49" s="10"/>
      <c r="W49" s="10"/>
      <c r="X49" s="10"/>
      <c r="Y49" s="10"/>
      <c r="Z49" s="10"/>
    </row>
    <row r="50" ht="12.75" customHeight="1">
      <c r="A50" s="52"/>
      <c r="B50" s="53">
        <v>45.0</v>
      </c>
      <c r="C50" s="54" t="s">
        <v>131</v>
      </c>
      <c r="D50" s="55" t="s">
        <v>129</v>
      </c>
      <c r="E50" s="54" t="s">
        <v>132</v>
      </c>
      <c r="F50" s="56" t="s">
        <v>45</v>
      </c>
      <c r="G50" s="57"/>
      <c r="H50" s="10"/>
      <c r="I50" s="10"/>
      <c r="J50" s="10"/>
      <c r="K50" s="10"/>
      <c r="L50" s="10"/>
      <c r="M50" s="10"/>
      <c r="N50" s="10"/>
      <c r="O50" s="10"/>
      <c r="P50" s="10"/>
      <c r="Q50" s="10"/>
      <c r="R50" s="10"/>
      <c r="S50" s="10"/>
      <c r="T50" s="10"/>
      <c r="U50" s="10"/>
      <c r="V50" s="10"/>
      <c r="W50" s="10"/>
      <c r="X50" s="10"/>
      <c r="Y50" s="10"/>
      <c r="Z50" s="10"/>
    </row>
    <row r="51" ht="12.75" customHeight="1">
      <c r="A51" s="52"/>
      <c r="B51" s="53">
        <v>46.0</v>
      </c>
      <c r="C51" s="54" t="s">
        <v>133</v>
      </c>
      <c r="D51" s="55" t="s">
        <v>129</v>
      </c>
      <c r="E51" s="54" t="s">
        <v>134</v>
      </c>
      <c r="F51" s="56" t="s">
        <v>45</v>
      </c>
      <c r="G51" s="57"/>
      <c r="H51" s="10"/>
      <c r="I51" s="10"/>
      <c r="J51" s="10"/>
      <c r="K51" s="10"/>
      <c r="L51" s="10"/>
      <c r="M51" s="10"/>
      <c r="N51" s="10"/>
      <c r="O51" s="10"/>
      <c r="P51" s="10"/>
      <c r="Q51" s="10"/>
      <c r="R51" s="10"/>
      <c r="S51" s="10"/>
      <c r="T51" s="10"/>
      <c r="U51" s="10"/>
      <c r="V51" s="10"/>
      <c r="W51" s="10"/>
      <c r="X51" s="10"/>
      <c r="Y51" s="10"/>
      <c r="Z51" s="10"/>
    </row>
    <row r="52" ht="12.75" customHeight="1">
      <c r="A52" s="52"/>
      <c r="B52" s="53">
        <v>47.0</v>
      </c>
      <c r="C52" s="54" t="s">
        <v>135</v>
      </c>
      <c r="D52" s="55" t="s">
        <v>129</v>
      </c>
      <c r="E52" s="54" t="s">
        <v>136</v>
      </c>
      <c r="F52" s="56" t="s">
        <v>45</v>
      </c>
      <c r="G52" s="57"/>
      <c r="H52" s="10"/>
      <c r="I52" s="10"/>
      <c r="J52" s="10"/>
      <c r="K52" s="10"/>
      <c r="L52" s="10"/>
      <c r="M52" s="10"/>
      <c r="N52" s="10"/>
      <c r="O52" s="10"/>
      <c r="P52" s="10"/>
      <c r="Q52" s="10"/>
      <c r="R52" s="10"/>
      <c r="S52" s="10"/>
      <c r="T52" s="10"/>
      <c r="U52" s="10"/>
      <c r="V52" s="10"/>
      <c r="W52" s="10"/>
      <c r="X52" s="10"/>
      <c r="Y52" s="10"/>
      <c r="Z52" s="10"/>
    </row>
    <row r="53" ht="12.75" customHeight="1">
      <c r="A53" s="52"/>
      <c r="B53" s="53">
        <v>48.0</v>
      </c>
      <c r="C53" s="54" t="s">
        <v>137</v>
      </c>
      <c r="D53" s="55" t="s">
        <v>129</v>
      </c>
      <c r="E53" s="54" t="s">
        <v>138</v>
      </c>
      <c r="F53" s="56" t="s">
        <v>45</v>
      </c>
      <c r="G53" s="57"/>
      <c r="H53" s="10"/>
      <c r="I53" s="10"/>
      <c r="J53" s="10"/>
      <c r="K53" s="10"/>
      <c r="L53" s="10"/>
      <c r="M53" s="10"/>
      <c r="N53" s="10"/>
      <c r="O53" s="10"/>
      <c r="P53" s="10"/>
      <c r="Q53" s="10"/>
      <c r="R53" s="10"/>
      <c r="S53" s="10"/>
      <c r="T53" s="10"/>
      <c r="U53" s="10"/>
      <c r="V53" s="10"/>
      <c r="W53" s="10"/>
      <c r="X53" s="10"/>
      <c r="Y53" s="10"/>
      <c r="Z53" s="10"/>
    </row>
    <row r="54" ht="12.75" customHeight="1">
      <c r="A54" s="52"/>
      <c r="B54" s="53">
        <v>49.0</v>
      </c>
      <c r="C54" s="54" t="s">
        <v>139</v>
      </c>
      <c r="D54" s="55" t="s">
        <v>129</v>
      </c>
      <c r="E54" s="54" t="s">
        <v>140</v>
      </c>
      <c r="F54" s="56" t="s">
        <v>45</v>
      </c>
      <c r="G54" s="57"/>
      <c r="H54" s="10"/>
      <c r="I54" s="10"/>
      <c r="J54" s="10"/>
      <c r="K54" s="10"/>
      <c r="L54" s="10"/>
      <c r="M54" s="10"/>
      <c r="N54" s="10"/>
      <c r="O54" s="10"/>
      <c r="P54" s="10"/>
      <c r="Q54" s="10"/>
      <c r="R54" s="10"/>
      <c r="S54" s="10"/>
      <c r="T54" s="10"/>
      <c r="U54" s="10"/>
      <c r="V54" s="10"/>
      <c r="W54" s="10"/>
      <c r="X54" s="10"/>
      <c r="Y54" s="10"/>
      <c r="Z54" s="10"/>
    </row>
    <row r="55" ht="12.75" customHeight="1">
      <c r="A55" s="52"/>
      <c r="B55" s="53">
        <v>50.0</v>
      </c>
      <c r="C55" s="54" t="s">
        <v>141</v>
      </c>
      <c r="D55" s="55" t="s">
        <v>129</v>
      </c>
      <c r="E55" s="54" t="s">
        <v>142</v>
      </c>
      <c r="F55" s="56" t="s">
        <v>45</v>
      </c>
      <c r="G55" s="57"/>
      <c r="H55" s="10"/>
      <c r="I55" s="10"/>
      <c r="J55" s="10"/>
      <c r="K55" s="10"/>
      <c r="L55" s="10"/>
      <c r="M55" s="10"/>
      <c r="N55" s="10"/>
      <c r="O55" s="10"/>
      <c r="P55" s="10"/>
      <c r="Q55" s="10"/>
      <c r="R55" s="10"/>
      <c r="S55" s="10"/>
      <c r="T55" s="10"/>
      <c r="U55" s="10"/>
      <c r="V55" s="10"/>
      <c r="W55" s="10"/>
      <c r="X55" s="10"/>
      <c r="Y55" s="10"/>
      <c r="Z55" s="10"/>
    </row>
    <row r="56" ht="12.75" customHeight="1">
      <c r="A56" s="52"/>
      <c r="B56" s="53">
        <v>51.0</v>
      </c>
      <c r="C56" s="54" t="s">
        <v>143</v>
      </c>
      <c r="D56" s="55" t="s">
        <v>129</v>
      </c>
      <c r="E56" s="54" t="s">
        <v>144</v>
      </c>
      <c r="F56" s="56" t="s">
        <v>45</v>
      </c>
      <c r="G56" s="57"/>
      <c r="H56" s="10"/>
      <c r="I56" s="10"/>
      <c r="J56" s="10"/>
      <c r="K56" s="10"/>
      <c r="L56" s="10"/>
      <c r="M56" s="10"/>
      <c r="N56" s="10"/>
      <c r="O56" s="10"/>
      <c r="P56" s="10"/>
      <c r="Q56" s="10"/>
      <c r="R56" s="10"/>
      <c r="S56" s="10"/>
      <c r="T56" s="10"/>
      <c r="U56" s="10"/>
      <c r="V56" s="10"/>
      <c r="W56" s="10"/>
      <c r="X56" s="10"/>
      <c r="Y56" s="10"/>
      <c r="Z56" s="10"/>
    </row>
    <row r="57" ht="12.75" customHeight="1">
      <c r="A57" s="52"/>
      <c r="B57" s="53">
        <v>52.0</v>
      </c>
      <c r="C57" s="54" t="s">
        <v>145</v>
      </c>
      <c r="D57" s="55" t="s">
        <v>129</v>
      </c>
      <c r="E57" s="54" t="s">
        <v>146</v>
      </c>
      <c r="F57" s="56" t="s">
        <v>45</v>
      </c>
      <c r="G57" s="57"/>
      <c r="H57" s="10"/>
      <c r="I57" s="10"/>
      <c r="J57" s="10"/>
      <c r="K57" s="10"/>
      <c r="L57" s="10"/>
      <c r="M57" s="10"/>
      <c r="N57" s="10"/>
      <c r="O57" s="10"/>
      <c r="P57" s="10"/>
      <c r="Q57" s="10"/>
      <c r="R57" s="10"/>
      <c r="S57" s="10"/>
      <c r="T57" s="10"/>
      <c r="U57" s="10"/>
      <c r="V57" s="10"/>
      <c r="W57" s="10"/>
      <c r="X57" s="10"/>
      <c r="Y57" s="10"/>
      <c r="Z57" s="10"/>
    </row>
    <row r="58" ht="12.75" customHeight="1">
      <c r="A58" s="52"/>
      <c r="B58" s="53">
        <v>53.0</v>
      </c>
      <c r="C58" s="54" t="s">
        <v>147</v>
      </c>
      <c r="D58" s="55" t="s">
        <v>129</v>
      </c>
      <c r="E58" s="54" t="s">
        <v>148</v>
      </c>
      <c r="F58" s="56" t="s">
        <v>45</v>
      </c>
      <c r="G58" s="57"/>
      <c r="H58" s="10"/>
      <c r="I58" s="10"/>
      <c r="J58" s="10"/>
      <c r="K58" s="10"/>
      <c r="L58" s="10"/>
      <c r="M58" s="10"/>
      <c r="N58" s="10"/>
      <c r="O58" s="10"/>
      <c r="P58" s="10"/>
      <c r="Q58" s="10"/>
      <c r="R58" s="10"/>
      <c r="S58" s="10"/>
      <c r="T58" s="10"/>
      <c r="U58" s="10"/>
      <c r="V58" s="10"/>
      <c r="W58" s="10"/>
      <c r="X58" s="10"/>
      <c r="Y58" s="10"/>
      <c r="Z58" s="10"/>
    </row>
    <row r="59" ht="12.75" customHeight="1">
      <c r="A59" s="52"/>
      <c r="B59" s="53">
        <v>54.0</v>
      </c>
      <c r="C59" s="54" t="s">
        <v>149</v>
      </c>
      <c r="D59" s="55" t="s">
        <v>129</v>
      </c>
      <c r="E59" s="54" t="s">
        <v>150</v>
      </c>
      <c r="F59" s="56" t="s">
        <v>45</v>
      </c>
      <c r="G59" s="57"/>
      <c r="H59" s="10"/>
      <c r="I59" s="10"/>
      <c r="J59" s="10"/>
      <c r="K59" s="10"/>
      <c r="L59" s="10"/>
      <c r="M59" s="10"/>
      <c r="N59" s="10"/>
      <c r="O59" s="10"/>
      <c r="P59" s="10"/>
      <c r="Q59" s="10"/>
      <c r="R59" s="10"/>
      <c r="S59" s="10"/>
      <c r="T59" s="10"/>
      <c r="U59" s="10"/>
      <c r="V59" s="10"/>
      <c r="W59" s="10"/>
      <c r="X59" s="10"/>
      <c r="Y59" s="10"/>
      <c r="Z59" s="10"/>
    </row>
    <row r="60" ht="12.75" customHeight="1">
      <c r="A60" s="52"/>
      <c r="B60" s="53">
        <v>55.0</v>
      </c>
      <c r="C60" s="56" t="s">
        <v>151</v>
      </c>
      <c r="D60" s="55" t="s">
        <v>152</v>
      </c>
      <c r="E60" s="54" t="s">
        <v>153</v>
      </c>
      <c r="F60" s="56" t="s">
        <v>45</v>
      </c>
      <c r="G60" s="57"/>
      <c r="H60" s="10"/>
      <c r="I60" s="10"/>
      <c r="J60" s="10"/>
      <c r="K60" s="10"/>
      <c r="L60" s="10"/>
      <c r="M60" s="10"/>
      <c r="N60" s="10"/>
      <c r="O60" s="10"/>
      <c r="P60" s="10"/>
      <c r="Q60" s="10"/>
      <c r="R60" s="10"/>
      <c r="S60" s="10"/>
      <c r="T60" s="10"/>
      <c r="U60" s="10"/>
      <c r="V60" s="10"/>
      <c r="W60" s="10"/>
      <c r="X60" s="10"/>
      <c r="Y60" s="10"/>
      <c r="Z60" s="10"/>
    </row>
    <row r="61" ht="12.75" customHeight="1">
      <c r="A61" s="52"/>
      <c r="B61" s="53">
        <v>56.0</v>
      </c>
      <c r="C61" s="54" t="s">
        <v>154</v>
      </c>
      <c r="D61" s="55" t="s">
        <v>152</v>
      </c>
      <c r="E61" s="54" t="s">
        <v>155</v>
      </c>
      <c r="F61" s="56" t="s">
        <v>45</v>
      </c>
      <c r="G61" s="57"/>
      <c r="H61" s="10"/>
      <c r="I61" s="10"/>
      <c r="J61" s="10"/>
      <c r="K61" s="10"/>
      <c r="L61" s="10"/>
      <c r="M61" s="10"/>
      <c r="N61" s="10"/>
      <c r="O61" s="10"/>
      <c r="P61" s="10"/>
      <c r="Q61" s="10"/>
      <c r="R61" s="10"/>
      <c r="S61" s="10"/>
      <c r="T61" s="10"/>
      <c r="U61" s="10"/>
      <c r="V61" s="10"/>
      <c r="W61" s="10"/>
      <c r="X61" s="10"/>
      <c r="Y61" s="10"/>
      <c r="Z61" s="10"/>
    </row>
    <row r="62" ht="12.75" customHeight="1">
      <c r="A62" s="52"/>
      <c r="B62" s="53">
        <v>57.0</v>
      </c>
      <c r="C62" s="54" t="s">
        <v>156</v>
      </c>
      <c r="D62" s="55" t="s">
        <v>152</v>
      </c>
      <c r="E62" s="54" t="s">
        <v>157</v>
      </c>
      <c r="F62" s="56" t="s">
        <v>45</v>
      </c>
      <c r="G62" s="57"/>
      <c r="H62" s="10"/>
      <c r="I62" s="10"/>
      <c r="J62" s="10"/>
      <c r="K62" s="10"/>
      <c r="L62" s="10"/>
      <c r="M62" s="10"/>
      <c r="N62" s="10"/>
      <c r="O62" s="10"/>
      <c r="P62" s="10"/>
      <c r="Q62" s="10"/>
      <c r="R62" s="10"/>
      <c r="S62" s="10"/>
      <c r="T62" s="10"/>
      <c r="U62" s="10"/>
      <c r="V62" s="10"/>
      <c r="W62" s="10"/>
      <c r="X62" s="10"/>
      <c r="Y62" s="10"/>
      <c r="Z62" s="10"/>
    </row>
    <row r="63" ht="12.75" customHeight="1">
      <c r="A63" s="52"/>
      <c r="B63" s="53">
        <v>58.0</v>
      </c>
      <c r="C63" s="54" t="s">
        <v>158</v>
      </c>
      <c r="D63" s="55" t="s">
        <v>152</v>
      </c>
      <c r="E63" s="54" t="s">
        <v>159</v>
      </c>
      <c r="F63" s="56" t="s">
        <v>45</v>
      </c>
      <c r="G63" s="57"/>
      <c r="H63" s="10"/>
      <c r="I63" s="10"/>
      <c r="J63" s="10"/>
      <c r="K63" s="10"/>
      <c r="L63" s="10"/>
      <c r="M63" s="10"/>
      <c r="N63" s="10"/>
      <c r="O63" s="10"/>
      <c r="P63" s="10"/>
      <c r="Q63" s="10"/>
      <c r="R63" s="10"/>
      <c r="S63" s="10"/>
      <c r="T63" s="10"/>
      <c r="U63" s="10"/>
      <c r="V63" s="10"/>
      <c r="W63" s="10"/>
      <c r="X63" s="10"/>
      <c r="Y63" s="10"/>
      <c r="Z63" s="10"/>
    </row>
    <row r="64" ht="12.75" customHeight="1">
      <c r="A64" s="52"/>
      <c r="B64" s="53">
        <v>59.0</v>
      </c>
      <c r="C64" s="54" t="s">
        <v>160</v>
      </c>
      <c r="D64" s="55" t="s">
        <v>152</v>
      </c>
      <c r="E64" s="54" t="s">
        <v>161</v>
      </c>
      <c r="F64" s="56" t="s">
        <v>45</v>
      </c>
      <c r="G64" s="57"/>
      <c r="H64" s="10"/>
      <c r="I64" s="10"/>
      <c r="J64" s="10"/>
      <c r="K64" s="10"/>
      <c r="L64" s="10"/>
      <c r="M64" s="10"/>
      <c r="N64" s="10"/>
      <c r="O64" s="10"/>
      <c r="P64" s="10"/>
      <c r="Q64" s="10"/>
      <c r="R64" s="10"/>
      <c r="S64" s="10"/>
      <c r="T64" s="10"/>
      <c r="U64" s="10"/>
      <c r="V64" s="10"/>
      <c r="W64" s="10"/>
      <c r="X64" s="10"/>
      <c r="Y64" s="10"/>
      <c r="Z64" s="10"/>
    </row>
    <row r="65" ht="12.75" customHeight="1">
      <c r="A65" s="52"/>
      <c r="B65" s="53">
        <v>60.0</v>
      </c>
      <c r="C65" s="54" t="s">
        <v>162</v>
      </c>
      <c r="D65" s="55" t="s">
        <v>152</v>
      </c>
      <c r="E65" s="54" t="s">
        <v>163</v>
      </c>
      <c r="F65" s="56" t="s">
        <v>45</v>
      </c>
      <c r="G65" s="57"/>
      <c r="H65" s="10"/>
      <c r="I65" s="10"/>
      <c r="J65" s="10"/>
      <c r="K65" s="10"/>
      <c r="L65" s="10"/>
      <c r="M65" s="10"/>
      <c r="N65" s="10"/>
      <c r="O65" s="10"/>
      <c r="P65" s="10"/>
      <c r="Q65" s="10"/>
      <c r="R65" s="10"/>
      <c r="S65" s="10"/>
      <c r="T65" s="10"/>
      <c r="U65" s="10"/>
      <c r="V65" s="10"/>
      <c r="W65" s="10"/>
      <c r="X65" s="10"/>
      <c r="Y65" s="10"/>
      <c r="Z65" s="10"/>
    </row>
    <row r="66" ht="12.75" customHeight="1">
      <c r="A66" s="52"/>
      <c r="B66" s="53">
        <v>61.0</v>
      </c>
      <c r="C66" s="54" t="s">
        <v>164</v>
      </c>
      <c r="D66" s="55" t="s">
        <v>152</v>
      </c>
      <c r="E66" s="54" t="s">
        <v>165</v>
      </c>
      <c r="F66" s="56" t="s">
        <v>45</v>
      </c>
      <c r="G66" s="57"/>
      <c r="H66" s="10"/>
      <c r="I66" s="10"/>
      <c r="J66" s="10"/>
      <c r="K66" s="10"/>
      <c r="L66" s="10"/>
      <c r="M66" s="10"/>
      <c r="N66" s="10"/>
      <c r="O66" s="10"/>
      <c r="P66" s="10"/>
      <c r="Q66" s="10"/>
      <c r="R66" s="10"/>
      <c r="S66" s="10"/>
      <c r="T66" s="10"/>
      <c r="U66" s="10"/>
      <c r="V66" s="10"/>
      <c r="W66" s="10"/>
      <c r="X66" s="10"/>
      <c r="Y66" s="10"/>
      <c r="Z66" s="10"/>
    </row>
    <row r="67" ht="12.75" customHeight="1">
      <c r="A67" s="52"/>
      <c r="B67" s="53">
        <v>62.0</v>
      </c>
      <c r="C67" s="54" t="s">
        <v>166</v>
      </c>
      <c r="D67" s="55" t="s">
        <v>152</v>
      </c>
      <c r="E67" s="54" t="s">
        <v>167</v>
      </c>
      <c r="F67" s="56" t="s">
        <v>45</v>
      </c>
      <c r="G67" s="57"/>
      <c r="H67" s="10"/>
      <c r="I67" s="10"/>
      <c r="J67" s="10"/>
      <c r="K67" s="10"/>
      <c r="L67" s="10"/>
      <c r="M67" s="10"/>
      <c r="N67" s="10"/>
      <c r="O67" s="10"/>
      <c r="P67" s="10"/>
      <c r="Q67" s="10"/>
      <c r="R67" s="10"/>
      <c r="S67" s="10"/>
      <c r="T67" s="10"/>
      <c r="U67" s="10"/>
      <c r="V67" s="10"/>
      <c r="W67" s="10"/>
      <c r="X67" s="10"/>
      <c r="Y67" s="10"/>
      <c r="Z67" s="10"/>
    </row>
    <row r="68" ht="12.75" customHeight="1">
      <c r="A68" s="52"/>
      <c r="B68" s="53">
        <v>63.0</v>
      </c>
      <c r="C68" s="54" t="s">
        <v>168</v>
      </c>
      <c r="D68" s="55" t="s">
        <v>169</v>
      </c>
      <c r="E68" s="54" t="s">
        <v>170</v>
      </c>
      <c r="F68" s="56" t="s">
        <v>45</v>
      </c>
      <c r="G68" s="57"/>
      <c r="H68" s="10"/>
      <c r="I68" s="10"/>
      <c r="J68" s="10"/>
      <c r="K68" s="10"/>
      <c r="L68" s="10"/>
      <c r="M68" s="10"/>
      <c r="N68" s="10"/>
      <c r="O68" s="10"/>
      <c r="P68" s="10"/>
      <c r="Q68" s="10"/>
      <c r="R68" s="10"/>
      <c r="S68" s="10"/>
      <c r="T68" s="10"/>
      <c r="U68" s="10"/>
      <c r="V68" s="10"/>
      <c r="W68" s="10"/>
      <c r="X68" s="10"/>
      <c r="Y68" s="10"/>
      <c r="Z68" s="10"/>
    </row>
    <row r="69" ht="12.75" customHeight="1">
      <c r="A69" s="52"/>
      <c r="B69" s="53">
        <v>64.0</v>
      </c>
      <c r="C69" s="54" t="s">
        <v>171</v>
      </c>
      <c r="D69" s="55" t="s">
        <v>169</v>
      </c>
      <c r="E69" s="54" t="s">
        <v>172</v>
      </c>
      <c r="F69" s="56" t="s">
        <v>45</v>
      </c>
      <c r="G69" s="57"/>
      <c r="H69" s="10"/>
      <c r="I69" s="10"/>
      <c r="J69" s="10"/>
      <c r="K69" s="10"/>
      <c r="L69" s="10"/>
      <c r="M69" s="10"/>
      <c r="N69" s="10"/>
      <c r="O69" s="10"/>
      <c r="P69" s="10"/>
      <c r="Q69" s="10"/>
      <c r="R69" s="10"/>
      <c r="S69" s="10"/>
      <c r="T69" s="10"/>
      <c r="U69" s="10"/>
      <c r="V69" s="10"/>
      <c r="W69" s="10"/>
      <c r="X69" s="10"/>
      <c r="Y69" s="10"/>
      <c r="Z69" s="10"/>
    </row>
    <row r="70" ht="12.75" customHeight="1">
      <c r="A70" s="52"/>
      <c r="B70" s="53">
        <v>65.0</v>
      </c>
      <c r="C70" s="54" t="s">
        <v>173</v>
      </c>
      <c r="D70" s="55" t="s">
        <v>169</v>
      </c>
      <c r="E70" s="54" t="s">
        <v>174</v>
      </c>
      <c r="F70" s="56" t="s">
        <v>45</v>
      </c>
      <c r="G70" s="57"/>
      <c r="H70" s="10"/>
      <c r="I70" s="10"/>
      <c r="J70" s="10"/>
      <c r="K70" s="10"/>
      <c r="L70" s="10"/>
      <c r="M70" s="10"/>
      <c r="N70" s="10"/>
      <c r="O70" s="10"/>
      <c r="P70" s="10"/>
      <c r="Q70" s="10"/>
      <c r="R70" s="10"/>
      <c r="S70" s="10"/>
      <c r="T70" s="10"/>
      <c r="U70" s="10"/>
      <c r="V70" s="10"/>
      <c r="W70" s="10"/>
      <c r="X70" s="10"/>
      <c r="Y70" s="10"/>
      <c r="Z70" s="10"/>
    </row>
    <row r="71" ht="12.75" customHeight="1">
      <c r="A71" s="52"/>
      <c r="B71" s="53">
        <v>66.0</v>
      </c>
      <c r="C71" s="54" t="s">
        <v>175</v>
      </c>
      <c r="D71" s="55" t="s">
        <v>169</v>
      </c>
      <c r="E71" s="54" t="s">
        <v>176</v>
      </c>
      <c r="F71" s="56" t="s">
        <v>45</v>
      </c>
      <c r="G71" s="57"/>
      <c r="H71" s="10"/>
      <c r="I71" s="10"/>
      <c r="J71" s="10"/>
      <c r="K71" s="10"/>
      <c r="L71" s="10"/>
      <c r="M71" s="10"/>
      <c r="N71" s="10"/>
      <c r="O71" s="10"/>
      <c r="P71" s="10"/>
      <c r="Q71" s="10"/>
      <c r="R71" s="10"/>
      <c r="S71" s="10"/>
      <c r="T71" s="10"/>
      <c r="U71" s="10"/>
      <c r="V71" s="10"/>
      <c r="W71" s="10"/>
      <c r="X71" s="10"/>
      <c r="Y71" s="10"/>
      <c r="Z71" s="10"/>
    </row>
    <row r="72" ht="12.75" customHeight="1">
      <c r="A72" s="52"/>
      <c r="B72" s="53">
        <v>67.0</v>
      </c>
      <c r="C72" s="54" t="s">
        <v>177</v>
      </c>
      <c r="D72" s="55" t="s">
        <v>178</v>
      </c>
      <c r="E72" s="54" t="s">
        <v>179</v>
      </c>
      <c r="F72" s="56" t="s">
        <v>45</v>
      </c>
      <c r="G72" s="57"/>
      <c r="H72" s="10"/>
      <c r="I72" s="10"/>
      <c r="J72" s="10"/>
      <c r="K72" s="10"/>
      <c r="L72" s="10"/>
      <c r="M72" s="10"/>
      <c r="N72" s="10"/>
      <c r="O72" s="10"/>
      <c r="P72" s="10"/>
      <c r="Q72" s="10"/>
      <c r="R72" s="10"/>
      <c r="S72" s="10"/>
      <c r="T72" s="10"/>
      <c r="U72" s="10"/>
      <c r="V72" s="10"/>
      <c r="W72" s="10"/>
      <c r="X72" s="10"/>
      <c r="Y72" s="10"/>
      <c r="Z72" s="10"/>
    </row>
    <row r="73" ht="12.75" customHeight="1">
      <c r="A73" s="52"/>
      <c r="B73" s="53">
        <v>68.0</v>
      </c>
      <c r="C73" s="54" t="s">
        <v>180</v>
      </c>
      <c r="D73" s="55" t="s">
        <v>178</v>
      </c>
      <c r="E73" s="54" t="s">
        <v>181</v>
      </c>
      <c r="F73" s="56" t="s">
        <v>45</v>
      </c>
      <c r="G73" s="57"/>
      <c r="H73" s="10"/>
      <c r="I73" s="10"/>
      <c r="J73" s="10"/>
      <c r="K73" s="10"/>
      <c r="L73" s="10"/>
      <c r="M73" s="10"/>
      <c r="N73" s="10"/>
      <c r="O73" s="10"/>
      <c r="P73" s="10"/>
      <c r="Q73" s="10"/>
      <c r="R73" s="10"/>
      <c r="S73" s="10"/>
      <c r="T73" s="10"/>
      <c r="U73" s="10"/>
      <c r="V73" s="10"/>
      <c r="W73" s="10"/>
      <c r="X73" s="10"/>
      <c r="Y73" s="10"/>
      <c r="Z73" s="10"/>
    </row>
    <row r="74" ht="12.75" customHeight="1">
      <c r="A74" s="52"/>
      <c r="B74" s="53">
        <v>69.0</v>
      </c>
      <c r="C74" s="54" t="s">
        <v>182</v>
      </c>
      <c r="D74" s="55" t="s">
        <v>183</v>
      </c>
      <c r="E74" s="54" t="s">
        <v>184</v>
      </c>
      <c r="F74" s="56" t="s">
        <v>45</v>
      </c>
      <c r="G74" s="57"/>
      <c r="H74" s="10"/>
      <c r="I74" s="10"/>
      <c r="J74" s="10"/>
      <c r="K74" s="10"/>
      <c r="L74" s="10"/>
      <c r="M74" s="10"/>
      <c r="N74" s="10"/>
      <c r="O74" s="10"/>
      <c r="P74" s="10"/>
      <c r="Q74" s="10"/>
      <c r="R74" s="10"/>
      <c r="S74" s="10"/>
      <c r="T74" s="10"/>
      <c r="U74" s="10"/>
      <c r="V74" s="10"/>
      <c r="W74" s="10"/>
      <c r="X74" s="10"/>
      <c r="Y74" s="10"/>
      <c r="Z74" s="10"/>
    </row>
    <row r="75" ht="12.75" customHeight="1">
      <c r="A75" s="52"/>
      <c r="B75" s="53">
        <v>70.0</v>
      </c>
      <c r="C75" s="54" t="s">
        <v>185</v>
      </c>
      <c r="D75" s="55" t="s">
        <v>183</v>
      </c>
      <c r="E75" s="54" t="s">
        <v>186</v>
      </c>
      <c r="F75" s="56" t="s">
        <v>45</v>
      </c>
      <c r="G75" s="57"/>
      <c r="H75" s="10"/>
      <c r="I75" s="10"/>
      <c r="J75" s="10"/>
      <c r="K75" s="10"/>
      <c r="L75" s="10"/>
      <c r="M75" s="10"/>
      <c r="N75" s="10"/>
      <c r="O75" s="10"/>
      <c r="P75" s="10"/>
      <c r="Q75" s="10"/>
      <c r="R75" s="10"/>
      <c r="S75" s="10"/>
      <c r="T75" s="10"/>
      <c r="U75" s="10"/>
      <c r="V75" s="10"/>
      <c r="W75" s="10"/>
      <c r="X75" s="10"/>
      <c r="Y75" s="10"/>
      <c r="Z75" s="10"/>
    </row>
    <row r="76" ht="12.75" customHeight="1">
      <c r="A76" s="52"/>
      <c r="B76" s="53">
        <v>71.0</v>
      </c>
      <c r="C76" s="54" t="s">
        <v>187</v>
      </c>
      <c r="D76" s="55" t="s">
        <v>183</v>
      </c>
      <c r="E76" s="54" t="s">
        <v>188</v>
      </c>
      <c r="F76" s="56" t="s">
        <v>45</v>
      </c>
      <c r="G76" s="57"/>
      <c r="H76" s="10"/>
      <c r="I76" s="10"/>
      <c r="J76" s="10"/>
      <c r="K76" s="10"/>
      <c r="L76" s="10"/>
      <c r="M76" s="10"/>
      <c r="N76" s="10"/>
      <c r="O76" s="10"/>
      <c r="P76" s="10"/>
      <c r="Q76" s="10"/>
      <c r="R76" s="10"/>
      <c r="S76" s="10"/>
      <c r="T76" s="10"/>
      <c r="U76" s="10"/>
      <c r="V76" s="10"/>
      <c r="W76" s="10"/>
      <c r="X76" s="10"/>
      <c r="Y76" s="10"/>
      <c r="Z76" s="10"/>
    </row>
    <row r="77" ht="12.75" customHeight="1">
      <c r="A77" s="52"/>
      <c r="B77" s="53">
        <v>72.0</v>
      </c>
      <c r="C77" s="54" t="s">
        <v>189</v>
      </c>
      <c r="D77" s="55" t="s">
        <v>190</v>
      </c>
      <c r="E77" s="54" t="s">
        <v>191</v>
      </c>
      <c r="F77" s="56" t="s">
        <v>45</v>
      </c>
      <c r="G77" s="57"/>
      <c r="H77" s="10"/>
      <c r="I77" s="10"/>
      <c r="J77" s="10"/>
      <c r="K77" s="10"/>
      <c r="L77" s="10"/>
      <c r="M77" s="10"/>
      <c r="N77" s="10"/>
      <c r="O77" s="10"/>
      <c r="P77" s="10"/>
      <c r="Q77" s="10"/>
      <c r="R77" s="10"/>
      <c r="S77" s="10"/>
      <c r="T77" s="10"/>
      <c r="U77" s="10"/>
      <c r="V77" s="10"/>
      <c r="W77" s="10"/>
      <c r="X77" s="10"/>
      <c r="Y77" s="10"/>
      <c r="Z77" s="10"/>
    </row>
    <row r="78" ht="12.75" customHeight="1">
      <c r="A78" s="52"/>
      <c r="B78" s="53">
        <v>73.0</v>
      </c>
      <c r="C78" s="54" t="s">
        <v>192</v>
      </c>
      <c r="D78" s="55" t="s">
        <v>193</v>
      </c>
      <c r="E78" s="54" t="s">
        <v>194</v>
      </c>
      <c r="F78" s="56" t="s">
        <v>45</v>
      </c>
      <c r="G78" s="57"/>
      <c r="H78" s="10"/>
      <c r="I78" s="10"/>
      <c r="J78" s="10"/>
      <c r="K78" s="10"/>
      <c r="L78" s="10"/>
      <c r="M78" s="10"/>
      <c r="N78" s="10"/>
      <c r="O78" s="10"/>
      <c r="P78" s="10"/>
      <c r="Q78" s="10"/>
      <c r="R78" s="10"/>
      <c r="S78" s="10"/>
      <c r="T78" s="10"/>
      <c r="U78" s="10"/>
      <c r="V78" s="10"/>
      <c r="W78" s="10"/>
      <c r="X78" s="10"/>
      <c r="Y78" s="10"/>
      <c r="Z78" s="10"/>
    </row>
    <row r="79" ht="12.75" customHeight="1">
      <c r="A79" s="52"/>
      <c r="B79" s="53">
        <v>74.0</v>
      </c>
      <c r="C79" s="54" t="s">
        <v>195</v>
      </c>
      <c r="D79" s="55" t="s">
        <v>193</v>
      </c>
      <c r="E79" s="54" t="s">
        <v>196</v>
      </c>
      <c r="F79" s="56" t="s">
        <v>45</v>
      </c>
      <c r="G79" s="57"/>
      <c r="H79" s="10"/>
      <c r="I79" s="10"/>
      <c r="J79" s="10"/>
      <c r="K79" s="10"/>
      <c r="L79" s="10"/>
      <c r="M79" s="10"/>
      <c r="N79" s="10"/>
      <c r="O79" s="10"/>
      <c r="P79" s="10"/>
      <c r="Q79" s="10"/>
      <c r="R79" s="10"/>
      <c r="S79" s="10"/>
      <c r="T79" s="10"/>
      <c r="U79" s="10"/>
      <c r="V79" s="10"/>
      <c r="W79" s="10"/>
      <c r="X79" s="10"/>
      <c r="Y79" s="10"/>
      <c r="Z79" s="10"/>
    </row>
    <row r="80" ht="12.75" customHeight="1">
      <c r="A80" s="52"/>
      <c r="B80" s="53">
        <v>75.0</v>
      </c>
      <c r="C80" s="54" t="s">
        <v>197</v>
      </c>
      <c r="D80" s="55" t="s">
        <v>193</v>
      </c>
      <c r="E80" s="54" t="s">
        <v>198</v>
      </c>
      <c r="F80" s="56" t="s">
        <v>45</v>
      </c>
      <c r="G80" s="57"/>
      <c r="H80" s="10"/>
      <c r="I80" s="10"/>
      <c r="J80" s="10"/>
      <c r="K80" s="10"/>
      <c r="L80" s="10"/>
      <c r="M80" s="10"/>
      <c r="N80" s="10"/>
      <c r="O80" s="10"/>
      <c r="P80" s="10"/>
      <c r="Q80" s="10"/>
      <c r="R80" s="10"/>
      <c r="S80" s="10"/>
      <c r="T80" s="10"/>
      <c r="U80" s="10"/>
      <c r="V80" s="10"/>
      <c r="W80" s="10"/>
      <c r="X80" s="10"/>
      <c r="Y80" s="10"/>
      <c r="Z80" s="10"/>
    </row>
    <row r="81" ht="12.75" customHeight="1">
      <c r="A81" s="52"/>
      <c r="B81" s="53">
        <v>76.0</v>
      </c>
      <c r="C81" s="54" t="s">
        <v>199</v>
      </c>
      <c r="D81" s="55" t="s">
        <v>193</v>
      </c>
      <c r="E81" s="54" t="s">
        <v>200</v>
      </c>
      <c r="F81" s="56" t="s">
        <v>45</v>
      </c>
      <c r="G81" s="57"/>
      <c r="H81" s="10"/>
      <c r="I81" s="10"/>
      <c r="J81" s="10"/>
      <c r="K81" s="10"/>
      <c r="L81" s="10"/>
      <c r="M81" s="10"/>
      <c r="N81" s="10"/>
      <c r="O81" s="10"/>
      <c r="P81" s="10"/>
      <c r="Q81" s="10"/>
      <c r="R81" s="10"/>
      <c r="S81" s="10"/>
      <c r="T81" s="10"/>
      <c r="U81" s="10"/>
      <c r="V81" s="10"/>
      <c r="W81" s="10"/>
      <c r="X81" s="10"/>
      <c r="Y81" s="10"/>
      <c r="Z81" s="10"/>
    </row>
    <row r="82" ht="12.75" customHeight="1">
      <c r="A82" s="52"/>
      <c r="B82" s="53">
        <v>77.0</v>
      </c>
      <c r="C82" s="54" t="s">
        <v>201</v>
      </c>
      <c r="D82" s="55" t="s">
        <v>202</v>
      </c>
      <c r="E82" s="54" t="s">
        <v>203</v>
      </c>
      <c r="F82" s="56" t="s">
        <v>45</v>
      </c>
      <c r="G82" s="57"/>
      <c r="H82" s="10"/>
      <c r="I82" s="10"/>
      <c r="J82" s="10"/>
      <c r="K82" s="10"/>
      <c r="L82" s="10"/>
      <c r="M82" s="10"/>
      <c r="N82" s="10"/>
      <c r="O82" s="10"/>
      <c r="P82" s="10"/>
      <c r="Q82" s="10"/>
      <c r="R82" s="10"/>
      <c r="S82" s="10"/>
      <c r="T82" s="10"/>
      <c r="U82" s="10"/>
      <c r="V82" s="10"/>
      <c r="W82" s="10"/>
      <c r="X82" s="10"/>
      <c r="Y82" s="10"/>
      <c r="Z82" s="10"/>
    </row>
    <row r="83" ht="12.75" customHeight="1">
      <c r="A83" s="52"/>
      <c r="B83" s="53">
        <v>78.0</v>
      </c>
      <c r="C83" s="54" t="s">
        <v>204</v>
      </c>
      <c r="D83" s="55" t="s">
        <v>202</v>
      </c>
      <c r="E83" s="54" t="s">
        <v>205</v>
      </c>
      <c r="F83" s="56" t="s">
        <v>45</v>
      </c>
      <c r="G83" s="57"/>
      <c r="H83" s="10"/>
      <c r="I83" s="10"/>
      <c r="J83" s="10"/>
      <c r="K83" s="10"/>
      <c r="L83" s="10"/>
      <c r="M83" s="10"/>
      <c r="N83" s="10"/>
      <c r="O83" s="10"/>
      <c r="P83" s="10"/>
      <c r="Q83" s="10"/>
      <c r="R83" s="10"/>
      <c r="S83" s="10"/>
      <c r="T83" s="10"/>
      <c r="U83" s="10"/>
      <c r="V83" s="10"/>
      <c r="W83" s="10"/>
      <c r="X83" s="10"/>
      <c r="Y83" s="10"/>
      <c r="Z83" s="10"/>
    </row>
    <row r="84" ht="12.75" customHeight="1">
      <c r="A84" s="52"/>
      <c r="B84" s="53">
        <v>79.0</v>
      </c>
      <c r="C84" s="54" t="s">
        <v>206</v>
      </c>
      <c r="D84" s="55" t="s">
        <v>207</v>
      </c>
      <c r="E84" s="54" t="s">
        <v>208</v>
      </c>
      <c r="F84" s="56" t="s">
        <v>45</v>
      </c>
      <c r="G84" s="57"/>
      <c r="H84" s="10"/>
      <c r="I84" s="10"/>
      <c r="J84" s="10"/>
      <c r="K84" s="10"/>
      <c r="L84" s="10"/>
      <c r="M84" s="10"/>
      <c r="N84" s="10"/>
      <c r="O84" s="10"/>
      <c r="P84" s="10"/>
      <c r="Q84" s="10"/>
      <c r="R84" s="10"/>
      <c r="S84" s="10"/>
      <c r="T84" s="10"/>
      <c r="U84" s="10"/>
      <c r="V84" s="10"/>
      <c r="W84" s="10"/>
      <c r="X84" s="10"/>
      <c r="Y84" s="10"/>
      <c r="Z84" s="10"/>
    </row>
    <row r="85" ht="12.75" customHeight="1">
      <c r="A85" s="52"/>
      <c r="B85" s="53">
        <v>80.0</v>
      </c>
      <c r="C85" s="54" t="s">
        <v>209</v>
      </c>
      <c r="D85" s="55" t="s">
        <v>207</v>
      </c>
      <c r="E85" s="54" t="s">
        <v>210</v>
      </c>
      <c r="F85" s="56" t="s">
        <v>45</v>
      </c>
      <c r="G85" s="57"/>
      <c r="H85" s="10"/>
      <c r="I85" s="10"/>
      <c r="J85" s="10"/>
      <c r="K85" s="10"/>
      <c r="L85" s="10"/>
      <c r="M85" s="10"/>
      <c r="N85" s="10"/>
      <c r="O85" s="10"/>
      <c r="P85" s="10"/>
      <c r="Q85" s="10"/>
      <c r="R85" s="10"/>
      <c r="S85" s="10"/>
      <c r="T85" s="10"/>
      <c r="U85" s="10"/>
      <c r="V85" s="10"/>
      <c r="W85" s="10"/>
      <c r="X85" s="10"/>
      <c r="Y85" s="10"/>
      <c r="Z85" s="10"/>
    </row>
    <row r="86" ht="12.75" customHeight="1">
      <c r="A86" s="52"/>
      <c r="B86" s="53">
        <v>81.0</v>
      </c>
      <c r="C86" s="54" t="s">
        <v>211</v>
      </c>
      <c r="D86" s="55" t="s">
        <v>207</v>
      </c>
      <c r="E86" s="54" t="s">
        <v>212</v>
      </c>
      <c r="F86" s="56" t="s">
        <v>45</v>
      </c>
      <c r="G86" s="57"/>
      <c r="H86" s="10"/>
      <c r="I86" s="10"/>
      <c r="J86" s="10"/>
      <c r="K86" s="10"/>
      <c r="L86" s="10"/>
      <c r="M86" s="10"/>
      <c r="N86" s="10"/>
      <c r="O86" s="10"/>
      <c r="P86" s="10"/>
      <c r="Q86" s="10"/>
      <c r="R86" s="10"/>
      <c r="S86" s="10"/>
      <c r="T86" s="10"/>
      <c r="U86" s="10"/>
      <c r="V86" s="10"/>
      <c r="W86" s="10"/>
      <c r="X86" s="10"/>
      <c r="Y86" s="10"/>
      <c r="Z86" s="10"/>
    </row>
    <row r="87" ht="12.75" customHeight="1">
      <c r="A87" s="52"/>
      <c r="B87" s="53">
        <v>82.0</v>
      </c>
      <c r="C87" s="54" t="s">
        <v>213</v>
      </c>
      <c r="D87" s="55" t="s">
        <v>207</v>
      </c>
      <c r="E87" s="54" t="s">
        <v>214</v>
      </c>
      <c r="F87" s="56" t="s">
        <v>45</v>
      </c>
      <c r="G87" s="57"/>
      <c r="H87" s="10"/>
      <c r="I87" s="10"/>
      <c r="J87" s="10"/>
      <c r="K87" s="10"/>
      <c r="L87" s="10"/>
      <c r="M87" s="10"/>
      <c r="N87" s="10"/>
      <c r="O87" s="10"/>
      <c r="P87" s="10"/>
      <c r="Q87" s="10"/>
      <c r="R87" s="10"/>
      <c r="S87" s="10"/>
      <c r="T87" s="10"/>
      <c r="U87" s="10"/>
      <c r="V87" s="10"/>
      <c r="W87" s="10"/>
      <c r="X87" s="10"/>
      <c r="Y87" s="10"/>
      <c r="Z87" s="10"/>
    </row>
    <row r="88" ht="12.75" customHeight="1">
      <c r="A88" s="52"/>
      <c r="B88" s="53">
        <v>83.0</v>
      </c>
      <c r="C88" s="54" t="s">
        <v>215</v>
      </c>
      <c r="D88" s="55" t="s">
        <v>207</v>
      </c>
      <c r="E88" s="54" t="s">
        <v>216</v>
      </c>
      <c r="F88" s="56" t="s">
        <v>45</v>
      </c>
      <c r="G88" s="57"/>
      <c r="H88" s="10"/>
      <c r="I88" s="10"/>
      <c r="J88" s="10"/>
      <c r="K88" s="10"/>
      <c r="L88" s="10"/>
      <c r="M88" s="10"/>
      <c r="N88" s="10"/>
      <c r="O88" s="10"/>
      <c r="P88" s="10"/>
      <c r="Q88" s="10"/>
      <c r="R88" s="10"/>
      <c r="S88" s="10"/>
      <c r="T88" s="10"/>
      <c r="U88" s="10"/>
      <c r="V88" s="10"/>
      <c r="W88" s="10"/>
      <c r="X88" s="10"/>
      <c r="Y88" s="10"/>
      <c r="Z88" s="10"/>
    </row>
    <row r="89" ht="12.75" customHeight="1">
      <c r="A89" s="52"/>
      <c r="B89" s="53">
        <v>84.0</v>
      </c>
      <c r="C89" s="54" t="s">
        <v>217</v>
      </c>
      <c r="D89" s="55" t="s">
        <v>207</v>
      </c>
      <c r="E89" s="54" t="s">
        <v>218</v>
      </c>
      <c r="F89" s="56" t="s">
        <v>45</v>
      </c>
      <c r="G89" s="57"/>
      <c r="H89" s="10"/>
      <c r="I89" s="10"/>
      <c r="J89" s="10"/>
      <c r="K89" s="10"/>
      <c r="L89" s="10"/>
      <c r="M89" s="10"/>
      <c r="N89" s="10"/>
      <c r="O89" s="10"/>
      <c r="P89" s="10"/>
      <c r="Q89" s="10"/>
      <c r="R89" s="10"/>
      <c r="S89" s="10"/>
      <c r="T89" s="10"/>
      <c r="U89" s="10"/>
      <c r="V89" s="10"/>
      <c r="W89" s="10"/>
      <c r="X89" s="10"/>
      <c r="Y89" s="10"/>
      <c r="Z89" s="10"/>
    </row>
    <row r="90" ht="12.75" customHeight="1">
      <c r="A90" s="52"/>
      <c r="B90" s="53">
        <v>85.0</v>
      </c>
      <c r="C90" s="54" t="s">
        <v>219</v>
      </c>
      <c r="D90" s="55" t="s">
        <v>207</v>
      </c>
      <c r="E90" s="54" t="s">
        <v>220</v>
      </c>
      <c r="F90" s="56" t="s">
        <v>45</v>
      </c>
      <c r="G90" s="57"/>
      <c r="H90" s="10"/>
      <c r="I90" s="10"/>
      <c r="J90" s="10"/>
      <c r="K90" s="10"/>
      <c r="L90" s="10"/>
      <c r="M90" s="10"/>
      <c r="N90" s="10"/>
      <c r="O90" s="10"/>
      <c r="P90" s="10"/>
      <c r="Q90" s="10"/>
      <c r="R90" s="10"/>
      <c r="S90" s="10"/>
      <c r="T90" s="10"/>
      <c r="U90" s="10"/>
      <c r="V90" s="10"/>
      <c r="W90" s="10"/>
      <c r="X90" s="10"/>
      <c r="Y90" s="10"/>
      <c r="Z90" s="10"/>
    </row>
    <row r="91" ht="12.75" customHeight="1">
      <c r="A91" s="10"/>
      <c r="B91" s="32"/>
      <c r="C91" s="33"/>
      <c r="D91" s="33"/>
      <c r="E91" s="33"/>
      <c r="F91" s="33"/>
      <c r="G91" s="10"/>
      <c r="H91" s="10"/>
      <c r="I91" s="10"/>
      <c r="J91" s="10"/>
      <c r="K91" s="10"/>
      <c r="L91" s="10"/>
      <c r="M91" s="10"/>
      <c r="N91" s="10"/>
      <c r="O91" s="10"/>
      <c r="P91" s="10"/>
      <c r="Q91" s="10"/>
      <c r="R91" s="10"/>
      <c r="S91" s="10"/>
      <c r="T91" s="10"/>
      <c r="U91" s="10"/>
      <c r="V91" s="10"/>
      <c r="W91" s="10"/>
      <c r="X91" s="10"/>
      <c r="Y91" s="10"/>
      <c r="Z91" s="10"/>
    </row>
    <row r="92" ht="12.75" customHeight="1">
      <c r="A92" s="10"/>
      <c r="B92" s="32"/>
      <c r="C92" s="33"/>
      <c r="D92" s="33"/>
      <c r="E92" s="33"/>
      <c r="F92" s="33"/>
      <c r="G92" s="10"/>
      <c r="H92" s="10"/>
      <c r="I92" s="10"/>
      <c r="J92" s="10"/>
      <c r="K92" s="10"/>
      <c r="L92" s="10"/>
      <c r="M92" s="10"/>
      <c r="N92" s="10"/>
      <c r="O92" s="10"/>
      <c r="P92" s="10"/>
      <c r="Q92" s="10"/>
      <c r="R92" s="10"/>
      <c r="S92" s="10"/>
      <c r="T92" s="10"/>
      <c r="U92" s="10"/>
      <c r="V92" s="10"/>
      <c r="W92" s="10"/>
      <c r="X92" s="10"/>
      <c r="Y92" s="10"/>
      <c r="Z92" s="10"/>
    </row>
    <row r="93" ht="12.75" customHeight="1">
      <c r="A93" s="10"/>
      <c r="B93" s="32"/>
      <c r="C93" s="33"/>
      <c r="D93" s="33"/>
      <c r="E93" s="33"/>
      <c r="F93" s="33"/>
      <c r="G93" s="10"/>
      <c r="H93" s="10"/>
      <c r="I93" s="10"/>
      <c r="J93" s="10"/>
      <c r="K93" s="10"/>
      <c r="L93" s="10"/>
      <c r="M93" s="10"/>
      <c r="N93" s="10"/>
      <c r="O93" s="10"/>
      <c r="P93" s="10"/>
      <c r="Q93" s="10"/>
      <c r="R93" s="10"/>
      <c r="S93" s="10"/>
      <c r="T93" s="10"/>
      <c r="U93" s="10"/>
      <c r="V93" s="10"/>
      <c r="W93" s="10"/>
      <c r="X93" s="10"/>
      <c r="Y93" s="10"/>
      <c r="Z93" s="10"/>
    </row>
    <row r="94" ht="12.75" customHeight="1">
      <c r="A94" s="10"/>
      <c r="B94" s="32"/>
      <c r="C94" s="33"/>
      <c r="D94" s="33"/>
      <c r="E94" s="33"/>
      <c r="F94" s="33"/>
      <c r="G94" s="10"/>
      <c r="H94" s="10"/>
      <c r="I94" s="10"/>
      <c r="J94" s="10"/>
      <c r="K94" s="10"/>
      <c r="L94" s="10"/>
      <c r="M94" s="10"/>
      <c r="N94" s="10"/>
      <c r="O94" s="10"/>
      <c r="P94" s="10"/>
      <c r="Q94" s="10"/>
      <c r="R94" s="10"/>
      <c r="S94" s="10"/>
      <c r="T94" s="10"/>
      <c r="U94" s="10"/>
      <c r="V94" s="10"/>
      <c r="W94" s="10"/>
      <c r="X94" s="10"/>
      <c r="Y94" s="10"/>
      <c r="Z94" s="10"/>
    </row>
    <row r="95" ht="12.75" customHeight="1">
      <c r="A95" s="10"/>
      <c r="B95" s="32"/>
      <c r="C95" s="33"/>
      <c r="D95" s="33"/>
      <c r="E95" s="33"/>
      <c r="F95" s="33"/>
      <c r="G95" s="10"/>
      <c r="H95" s="10"/>
      <c r="I95" s="10"/>
      <c r="J95" s="10"/>
      <c r="K95" s="10"/>
      <c r="L95" s="10"/>
      <c r="M95" s="10"/>
      <c r="N95" s="10"/>
      <c r="O95" s="10"/>
      <c r="P95" s="10"/>
      <c r="Q95" s="10"/>
      <c r="R95" s="10"/>
      <c r="S95" s="10"/>
      <c r="T95" s="10"/>
      <c r="U95" s="10"/>
      <c r="V95" s="10"/>
      <c r="W95" s="10"/>
      <c r="X95" s="10"/>
      <c r="Y95" s="10"/>
      <c r="Z95" s="10"/>
    </row>
    <row r="96" ht="12.75" customHeight="1">
      <c r="A96" s="10"/>
      <c r="B96" s="32"/>
      <c r="C96" s="33"/>
      <c r="D96" s="33"/>
      <c r="E96" s="33"/>
      <c r="F96" s="33"/>
      <c r="G96" s="10"/>
      <c r="H96" s="10"/>
      <c r="I96" s="10"/>
      <c r="J96" s="10"/>
      <c r="K96" s="10"/>
      <c r="L96" s="10"/>
      <c r="M96" s="10"/>
      <c r="N96" s="10"/>
      <c r="O96" s="10"/>
      <c r="P96" s="10"/>
      <c r="Q96" s="10"/>
      <c r="R96" s="10"/>
      <c r="S96" s="10"/>
      <c r="T96" s="10"/>
      <c r="U96" s="10"/>
      <c r="V96" s="10"/>
      <c r="W96" s="10"/>
      <c r="X96" s="10"/>
      <c r="Y96" s="10"/>
      <c r="Z96" s="10"/>
    </row>
    <row r="97" ht="12.75" customHeight="1">
      <c r="A97" s="10"/>
      <c r="B97" s="32"/>
      <c r="C97" s="33"/>
      <c r="D97" s="33"/>
      <c r="E97" s="33"/>
      <c r="F97" s="33"/>
      <c r="G97" s="10"/>
      <c r="H97" s="10"/>
      <c r="I97" s="10"/>
      <c r="J97" s="10"/>
      <c r="K97" s="10"/>
      <c r="L97" s="10"/>
      <c r="M97" s="10"/>
      <c r="N97" s="10"/>
      <c r="O97" s="10"/>
      <c r="P97" s="10"/>
      <c r="Q97" s="10"/>
      <c r="R97" s="10"/>
      <c r="S97" s="10"/>
      <c r="T97" s="10"/>
      <c r="U97" s="10"/>
      <c r="V97" s="10"/>
      <c r="W97" s="10"/>
      <c r="X97" s="10"/>
      <c r="Y97" s="10"/>
      <c r="Z97" s="10"/>
    </row>
    <row r="98" ht="12.75" customHeight="1">
      <c r="A98" s="10"/>
      <c r="B98" s="32"/>
      <c r="C98" s="33"/>
      <c r="D98" s="33"/>
      <c r="E98" s="33"/>
      <c r="F98" s="33"/>
      <c r="G98" s="10"/>
      <c r="H98" s="10"/>
      <c r="I98" s="10"/>
      <c r="J98" s="10"/>
      <c r="K98" s="10"/>
      <c r="L98" s="10"/>
      <c r="M98" s="10"/>
      <c r="N98" s="10"/>
      <c r="O98" s="10"/>
      <c r="P98" s="10"/>
      <c r="Q98" s="10"/>
      <c r="R98" s="10"/>
      <c r="S98" s="10"/>
      <c r="T98" s="10"/>
      <c r="U98" s="10"/>
      <c r="V98" s="10"/>
      <c r="W98" s="10"/>
      <c r="X98" s="10"/>
      <c r="Y98" s="10"/>
      <c r="Z98" s="10"/>
    </row>
    <row r="99" ht="12.75" customHeight="1">
      <c r="A99" s="10"/>
      <c r="B99" s="32"/>
      <c r="C99" s="33"/>
      <c r="D99" s="33"/>
      <c r="E99" s="33"/>
      <c r="F99" s="33"/>
      <c r="G99" s="10"/>
      <c r="H99" s="10"/>
      <c r="I99" s="10"/>
      <c r="J99" s="10"/>
      <c r="K99" s="10"/>
      <c r="L99" s="10"/>
      <c r="M99" s="10"/>
      <c r="N99" s="10"/>
      <c r="O99" s="10"/>
      <c r="P99" s="10"/>
      <c r="Q99" s="10"/>
      <c r="R99" s="10"/>
      <c r="S99" s="10"/>
      <c r="T99" s="10"/>
      <c r="U99" s="10"/>
      <c r="V99" s="10"/>
      <c r="W99" s="10"/>
      <c r="X99" s="10"/>
      <c r="Y99" s="10"/>
      <c r="Z99" s="10"/>
    </row>
    <row r="100" ht="12.75" customHeight="1">
      <c r="A100" s="10"/>
      <c r="B100" s="32"/>
      <c r="C100" s="33"/>
      <c r="D100" s="33"/>
      <c r="E100" s="33"/>
      <c r="F100" s="33"/>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32"/>
      <c r="C101" s="33"/>
      <c r="D101" s="33"/>
      <c r="E101" s="33"/>
      <c r="F101" s="33"/>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32"/>
      <c r="C102" s="33"/>
      <c r="D102" s="33"/>
      <c r="E102" s="33"/>
      <c r="F102" s="33"/>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32"/>
      <c r="C103" s="33"/>
      <c r="D103" s="33"/>
      <c r="E103" s="33"/>
      <c r="F103" s="33"/>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32"/>
      <c r="C104" s="33"/>
      <c r="D104" s="33"/>
      <c r="E104" s="33"/>
      <c r="F104" s="33"/>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32"/>
      <c r="C105" s="33"/>
      <c r="D105" s="33"/>
      <c r="E105" s="33"/>
      <c r="F105" s="33"/>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32"/>
      <c r="C106" s="33"/>
      <c r="D106" s="33"/>
      <c r="E106" s="33"/>
      <c r="F106" s="33"/>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32"/>
      <c r="C107" s="33"/>
      <c r="D107" s="33"/>
      <c r="E107" s="33"/>
      <c r="F107" s="33"/>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32"/>
      <c r="C108" s="33"/>
      <c r="D108" s="33"/>
      <c r="E108" s="33"/>
      <c r="F108" s="33"/>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32"/>
      <c r="C109" s="33"/>
      <c r="D109" s="33"/>
      <c r="E109" s="33"/>
      <c r="F109" s="33"/>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32"/>
      <c r="C110" s="33"/>
      <c r="D110" s="33"/>
      <c r="E110" s="33"/>
      <c r="F110" s="33"/>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32"/>
      <c r="C111" s="33"/>
      <c r="D111" s="33"/>
      <c r="E111" s="33"/>
      <c r="F111" s="33"/>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32"/>
      <c r="C112" s="33"/>
      <c r="D112" s="33"/>
      <c r="E112" s="33"/>
      <c r="F112" s="33"/>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32"/>
      <c r="C113" s="33"/>
      <c r="D113" s="33"/>
      <c r="E113" s="33"/>
      <c r="F113" s="33"/>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32"/>
      <c r="C114" s="33"/>
      <c r="D114" s="33"/>
      <c r="E114" s="33"/>
      <c r="F114" s="33"/>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32"/>
      <c r="C115" s="33"/>
      <c r="D115" s="33"/>
      <c r="E115" s="33"/>
      <c r="F115" s="33"/>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32"/>
      <c r="C116" s="33"/>
      <c r="D116" s="33"/>
      <c r="E116" s="33"/>
      <c r="F116" s="33"/>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32"/>
      <c r="C117" s="33"/>
      <c r="D117" s="33"/>
      <c r="E117" s="33"/>
      <c r="F117" s="33"/>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32"/>
      <c r="C118" s="33"/>
      <c r="D118" s="33"/>
      <c r="E118" s="33"/>
      <c r="F118" s="33"/>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32"/>
      <c r="C119" s="33"/>
      <c r="D119" s="33"/>
      <c r="E119" s="33"/>
      <c r="F119" s="33"/>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32"/>
      <c r="C120" s="33"/>
      <c r="D120" s="33"/>
      <c r="E120" s="33"/>
      <c r="F120" s="33"/>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32"/>
      <c r="C121" s="33"/>
      <c r="D121" s="33"/>
      <c r="E121" s="33"/>
      <c r="F121" s="33"/>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32"/>
      <c r="C122" s="33"/>
      <c r="D122" s="33"/>
      <c r="E122" s="33"/>
      <c r="F122" s="33"/>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32"/>
      <c r="C123" s="33"/>
      <c r="D123" s="33"/>
      <c r="E123" s="33"/>
      <c r="F123" s="33"/>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32"/>
      <c r="C124" s="33"/>
      <c r="D124" s="33"/>
      <c r="E124" s="33"/>
      <c r="F124" s="33"/>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32"/>
      <c r="C125" s="33"/>
      <c r="D125" s="33"/>
      <c r="E125" s="33"/>
      <c r="F125" s="33"/>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32"/>
      <c r="C126" s="33"/>
      <c r="D126" s="33"/>
      <c r="E126" s="33"/>
      <c r="F126" s="33"/>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32"/>
      <c r="C127" s="33"/>
      <c r="D127" s="33"/>
      <c r="E127" s="33"/>
      <c r="F127" s="33"/>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32"/>
      <c r="C128" s="33"/>
      <c r="D128" s="33"/>
      <c r="E128" s="33"/>
      <c r="F128" s="33"/>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32"/>
      <c r="C129" s="33"/>
      <c r="D129" s="33"/>
      <c r="E129" s="33"/>
      <c r="F129" s="33"/>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32"/>
      <c r="C130" s="33"/>
      <c r="D130" s="33"/>
      <c r="E130" s="33"/>
      <c r="F130" s="33"/>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32"/>
      <c r="C131" s="33"/>
      <c r="D131" s="33"/>
      <c r="E131" s="33"/>
      <c r="F131" s="33"/>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32"/>
      <c r="C132" s="33"/>
      <c r="D132" s="33"/>
      <c r="E132" s="33"/>
      <c r="F132" s="33"/>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32"/>
      <c r="C133" s="33"/>
      <c r="D133" s="33"/>
      <c r="E133" s="33"/>
      <c r="F133" s="33"/>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32"/>
      <c r="C134" s="33"/>
      <c r="D134" s="33"/>
      <c r="E134" s="33"/>
      <c r="F134" s="33"/>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32"/>
      <c r="C135" s="33"/>
      <c r="D135" s="33"/>
      <c r="E135" s="33"/>
      <c r="F135" s="33"/>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32"/>
      <c r="C136" s="33"/>
      <c r="D136" s="33"/>
      <c r="E136" s="33"/>
      <c r="F136" s="33"/>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32"/>
      <c r="C137" s="33"/>
      <c r="D137" s="33"/>
      <c r="E137" s="33"/>
      <c r="F137" s="33"/>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32"/>
      <c r="C138" s="33"/>
      <c r="D138" s="33"/>
      <c r="E138" s="33"/>
      <c r="F138" s="33"/>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32"/>
      <c r="C139" s="33"/>
      <c r="D139" s="33"/>
      <c r="E139" s="33"/>
      <c r="F139" s="33"/>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32"/>
      <c r="C140" s="33"/>
      <c r="D140" s="33"/>
      <c r="E140" s="33"/>
      <c r="F140" s="33"/>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32"/>
      <c r="C141" s="33"/>
      <c r="D141" s="33"/>
      <c r="E141" s="33"/>
      <c r="F141" s="33"/>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32"/>
      <c r="C142" s="33"/>
      <c r="D142" s="33"/>
      <c r="E142" s="33"/>
      <c r="F142" s="33"/>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32"/>
      <c r="C143" s="33"/>
      <c r="D143" s="33"/>
      <c r="E143" s="33"/>
      <c r="F143" s="33"/>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32"/>
      <c r="C144" s="33"/>
      <c r="D144" s="33"/>
      <c r="E144" s="33"/>
      <c r="F144" s="33"/>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32"/>
      <c r="C145" s="33"/>
      <c r="D145" s="33"/>
      <c r="E145" s="33"/>
      <c r="F145" s="33"/>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32"/>
      <c r="C146" s="33"/>
      <c r="D146" s="33"/>
      <c r="E146" s="33"/>
      <c r="F146" s="33"/>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32"/>
      <c r="C147" s="33"/>
      <c r="D147" s="33"/>
      <c r="E147" s="33"/>
      <c r="F147" s="33"/>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32"/>
      <c r="C148" s="33"/>
      <c r="D148" s="33"/>
      <c r="E148" s="33"/>
      <c r="F148" s="33"/>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32"/>
      <c r="C149" s="33"/>
      <c r="D149" s="33"/>
      <c r="E149" s="33"/>
      <c r="F149" s="33"/>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32"/>
      <c r="C150" s="33"/>
      <c r="D150" s="33"/>
      <c r="E150" s="33"/>
      <c r="F150" s="33"/>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32"/>
      <c r="C151" s="33"/>
      <c r="D151" s="33"/>
      <c r="E151" s="33"/>
      <c r="F151" s="33"/>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32"/>
      <c r="C152" s="33"/>
      <c r="D152" s="33"/>
      <c r="E152" s="33"/>
      <c r="F152" s="33"/>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32"/>
      <c r="C153" s="33"/>
      <c r="D153" s="33"/>
      <c r="E153" s="33"/>
      <c r="F153" s="33"/>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32"/>
      <c r="C154" s="33"/>
      <c r="D154" s="33"/>
      <c r="E154" s="33"/>
      <c r="F154" s="33"/>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32"/>
      <c r="C155" s="33"/>
      <c r="D155" s="33"/>
      <c r="E155" s="33"/>
      <c r="F155" s="33"/>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32"/>
      <c r="C156" s="33"/>
      <c r="D156" s="33"/>
      <c r="E156" s="33"/>
      <c r="F156" s="33"/>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32"/>
      <c r="C157" s="33"/>
      <c r="D157" s="33"/>
      <c r="E157" s="33"/>
      <c r="F157" s="33"/>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32"/>
      <c r="C158" s="33"/>
      <c r="D158" s="33"/>
      <c r="E158" s="33"/>
      <c r="F158" s="33"/>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32"/>
      <c r="C159" s="33"/>
      <c r="D159" s="33"/>
      <c r="E159" s="33"/>
      <c r="F159" s="33"/>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32"/>
      <c r="C160" s="33"/>
      <c r="D160" s="33"/>
      <c r="E160" s="33"/>
      <c r="F160" s="33"/>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32"/>
      <c r="C161" s="33"/>
      <c r="D161" s="33"/>
      <c r="E161" s="33"/>
      <c r="F161" s="33"/>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32"/>
      <c r="C162" s="33"/>
      <c r="D162" s="33"/>
      <c r="E162" s="33"/>
      <c r="F162" s="33"/>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32"/>
      <c r="C163" s="33"/>
      <c r="D163" s="33"/>
      <c r="E163" s="33"/>
      <c r="F163" s="33"/>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32"/>
      <c r="C164" s="33"/>
      <c r="D164" s="33"/>
      <c r="E164" s="33"/>
      <c r="F164" s="33"/>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32"/>
      <c r="C165" s="33"/>
      <c r="D165" s="33"/>
      <c r="E165" s="33"/>
      <c r="F165" s="33"/>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32"/>
      <c r="C166" s="33"/>
      <c r="D166" s="33"/>
      <c r="E166" s="33"/>
      <c r="F166" s="33"/>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32"/>
      <c r="C167" s="33"/>
      <c r="D167" s="33"/>
      <c r="E167" s="33"/>
      <c r="F167" s="33"/>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32"/>
      <c r="C168" s="33"/>
      <c r="D168" s="33"/>
      <c r="E168" s="33"/>
      <c r="F168" s="33"/>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32"/>
      <c r="C169" s="33"/>
      <c r="D169" s="33"/>
      <c r="E169" s="33"/>
      <c r="F169" s="33"/>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32"/>
      <c r="C170" s="33"/>
      <c r="D170" s="33"/>
      <c r="E170" s="33"/>
      <c r="F170" s="33"/>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32"/>
      <c r="C171" s="33"/>
      <c r="D171" s="33"/>
      <c r="E171" s="33"/>
      <c r="F171" s="33"/>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32"/>
      <c r="C172" s="33"/>
      <c r="D172" s="33"/>
      <c r="E172" s="33"/>
      <c r="F172" s="33"/>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32"/>
      <c r="C173" s="33"/>
      <c r="D173" s="33"/>
      <c r="E173" s="33"/>
      <c r="F173" s="33"/>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32"/>
      <c r="C174" s="33"/>
      <c r="D174" s="33"/>
      <c r="E174" s="33"/>
      <c r="F174" s="33"/>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32"/>
      <c r="C175" s="33"/>
      <c r="D175" s="33"/>
      <c r="E175" s="33"/>
      <c r="F175" s="33"/>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32"/>
      <c r="C176" s="33"/>
      <c r="D176" s="33"/>
      <c r="E176" s="33"/>
      <c r="F176" s="33"/>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32"/>
      <c r="C177" s="33"/>
      <c r="D177" s="33"/>
      <c r="E177" s="33"/>
      <c r="F177" s="33"/>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32"/>
      <c r="C178" s="33"/>
      <c r="D178" s="33"/>
      <c r="E178" s="33"/>
      <c r="F178" s="33"/>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32"/>
      <c r="C179" s="33"/>
      <c r="D179" s="33"/>
      <c r="E179" s="33"/>
      <c r="F179" s="33"/>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32"/>
      <c r="C180" s="33"/>
      <c r="D180" s="33"/>
      <c r="E180" s="33"/>
      <c r="F180" s="33"/>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32"/>
      <c r="C181" s="33"/>
      <c r="D181" s="33"/>
      <c r="E181" s="33"/>
      <c r="F181" s="33"/>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32"/>
      <c r="C182" s="33"/>
      <c r="D182" s="33"/>
      <c r="E182" s="33"/>
      <c r="F182" s="33"/>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32"/>
      <c r="C183" s="33"/>
      <c r="D183" s="33"/>
      <c r="E183" s="33"/>
      <c r="F183" s="33"/>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32"/>
      <c r="C184" s="33"/>
      <c r="D184" s="33"/>
      <c r="E184" s="33"/>
      <c r="F184" s="33"/>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32"/>
      <c r="C185" s="33"/>
      <c r="D185" s="33"/>
      <c r="E185" s="33"/>
      <c r="F185" s="33"/>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32"/>
      <c r="C186" s="33"/>
      <c r="D186" s="33"/>
      <c r="E186" s="33"/>
      <c r="F186" s="33"/>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32"/>
      <c r="C187" s="33"/>
      <c r="D187" s="33"/>
      <c r="E187" s="33"/>
      <c r="F187" s="33"/>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32"/>
      <c r="C188" s="33"/>
      <c r="D188" s="33"/>
      <c r="E188" s="33"/>
      <c r="F188" s="33"/>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32"/>
      <c r="C189" s="33"/>
      <c r="D189" s="33"/>
      <c r="E189" s="33"/>
      <c r="F189" s="33"/>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32"/>
      <c r="C190" s="33"/>
      <c r="D190" s="33"/>
      <c r="E190" s="33"/>
      <c r="F190" s="33"/>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32"/>
      <c r="C191" s="33"/>
      <c r="D191" s="33"/>
      <c r="E191" s="33"/>
      <c r="F191" s="33"/>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32"/>
      <c r="C192" s="33"/>
      <c r="D192" s="33"/>
      <c r="E192" s="33"/>
      <c r="F192" s="33"/>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32"/>
      <c r="C193" s="33"/>
      <c r="D193" s="33"/>
      <c r="E193" s="33"/>
      <c r="F193" s="33"/>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32"/>
      <c r="C194" s="33"/>
      <c r="D194" s="33"/>
      <c r="E194" s="33"/>
      <c r="F194" s="33"/>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32"/>
      <c r="C195" s="33"/>
      <c r="D195" s="33"/>
      <c r="E195" s="33"/>
      <c r="F195" s="33"/>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32"/>
      <c r="C196" s="33"/>
      <c r="D196" s="33"/>
      <c r="E196" s="33"/>
      <c r="F196" s="33"/>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32"/>
      <c r="C197" s="33"/>
      <c r="D197" s="33"/>
      <c r="E197" s="33"/>
      <c r="F197" s="33"/>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32"/>
      <c r="C198" s="33"/>
      <c r="D198" s="33"/>
      <c r="E198" s="33"/>
      <c r="F198" s="33"/>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32"/>
      <c r="C199" s="33"/>
      <c r="D199" s="33"/>
      <c r="E199" s="33"/>
      <c r="F199" s="33"/>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32"/>
      <c r="C200" s="33"/>
      <c r="D200" s="33"/>
      <c r="E200" s="33"/>
      <c r="F200" s="33"/>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32"/>
      <c r="C201" s="33"/>
      <c r="D201" s="33"/>
      <c r="E201" s="33"/>
      <c r="F201" s="33"/>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32"/>
      <c r="C202" s="33"/>
      <c r="D202" s="33"/>
      <c r="E202" s="33"/>
      <c r="F202" s="33"/>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32"/>
      <c r="C203" s="33"/>
      <c r="D203" s="33"/>
      <c r="E203" s="33"/>
      <c r="F203" s="33"/>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32"/>
      <c r="C204" s="33"/>
      <c r="D204" s="33"/>
      <c r="E204" s="33"/>
      <c r="F204" s="33"/>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32"/>
      <c r="C205" s="33"/>
      <c r="D205" s="33"/>
      <c r="E205" s="33"/>
      <c r="F205" s="33"/>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32"/>
      <c r="C206" s="33"/>
      <c r="D206" s="33"/>
      <c r="E206" s="33"/>
      <c r="F206" s="33"/>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32"/>
      <c r="C207" s="33"/>
      <c r="D207" s="33"/>
      <c r="E207" s="33"/>
      <c r="F207" s="33"/>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32"/>
      <c r="C208" s="33"/>
      <c r="D208" s="33"/>
      <c r="E208" s="33"/>
      <c r="F208" s="33"/>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32"/>
      <c r="C209" s="33"/>
      <c r="D209" s="33"/>
      <c r="E209" s="33"/>
      <c r="F209" s="33"/>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32"/>
      <c r="C210" s="33"/>
      <c r="D210" s="33"/>
      <c r="E210" s="33"/>
      <c r="F210" s="33"/>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32"/>
      <c r="C211" s="33"/>
      <c r="D211" s="33"/>
      <c r="E211" s="33"/>
      <c r="F211" s="33"/>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32"/>
      <c r="C212" s="33"/>
      <c r="D212" s="33"/>
      <c r="E212" s="33"/>
      <c r="F212" s="33"/>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32"/>
      <c r="C213" s="33"/>
      <c r="D213" s="33"/>
      <c r="E213" s="33"/>
      <c r="F213" s="33"/>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32"/>
      <c r="C214" s="33"/>
      <c r="D214" s="33"/>
      <c r="E214" s="33"/>
      <c r="F214" s="33"/>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32"/>
      <c r="C215" s="33"/>
      <c r="D215" s="33"/>
      <c r="E215" s="33"/>
      <c r="F215" s="33"/>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32"/>
      <c r="C216" s="33"/>
      <c r="D216" s="33"/>
      <c r="E216" s="33"/>
      <c r="F216" s="33"/>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32"/>
      <c r="C217" s="33"/>
      <c r="D217" s="33"/>
      <c r="E217" s="33"/>
      <c r="F217" s="33"/>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32"/>
      <c r="C218" s="33"/>
      <c r="D218" s="33"/>
      <c r="E218" s="33"/>
      <c r="F218" s="33"/>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32"/>
      <c r="C219" s="33"/>
      <c r="D219" s="33"/>
      <c r="E219" s="33"/>
      <c r="F219" s="33"/>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32"/>
      <c r="C220" s="33"/>
      <c r="D220" s="33"/>
      <c r="E220" s="33"/>
      <c r="F220" s="33"/>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32"/>
      <c r="C221" s="33"/>
      <c r="D221" s="33"/>
      <c r="E221" s="33"/>
      <c r="F221" s="33"/>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32"/>
      <c r="C222" s="33"/>
      <c r="D222" s="33"/>
      <c r="E222" s="33"/>
      <c r="F222" s="33"/>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32"/>
      <c r="C223" s="33"/>
      <c r="D223" s="33"/>
      <c r="E223" s="33"/>
      <c r="F223" s="33"/>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32"/>
      <c r="C224" s="33"/>
      <c r="D224" s="33"/>
      <c r="E224" s="33"/>
      <c r="F224" s="33"/>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32"/>
      <c r="C225" s="33"/>
      <c r="D225" s="33"/>
      <c r="E225" s="33"/>
      <c r="F225" s="33"/>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32"/>
      <c r="C226" s="33"/>
      <c r="D226" s="33"/>
      <c r="E226" s="33"/>
      <c r="F226" s="33"/>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32"/>
      <c r="C227" s="33"/>
      <c r="D227" s="33"/>
      <c r="E227" s="33"/>
      <c r="F227" s="33"/>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32"/>
      <c r="C228" s="33"/>
      <c r="D228" s="33"/>
      <c r="E228" s="33"/>
      <c r="F228" s="33"/>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32"/>
      <c r="C229" s="33"/>
      <c r="D229" s="33"/>
      <c r="E229" s="33"/>
      <c r="F229" s="33"/>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32"/>
      <c r="C230" s="33"/>
      <c r="D230" s="33"/>
      <c r="E230" s="33"/>
      <c r="F230" s="33"/>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32"/>
      <c r="C231" s="33"/>
      <c r="D231" s="33"/>
      <c r="E231" s="33"/>
      <c r="F231" s="33"/>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32"/>
      <c r="C232" s="33"/>
      <c r="D232" s="33"/>
      <c r="E232" s="33"/>
      <c r="F232" s="33"/>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32"/>
      <c r="C233" s="33"/>
      <c r="D233" s="33"/>
      <c r="E233" s="33"/>
      <c r="F233" s="33"/>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32"/>
      <c r="C234" s="33"/>
      <c r="D234" s="33"/>
      <c r="E234" s="33"/>
      <c r="F234" s="33"/>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32"/>
      <c r="C235" s="33"/>
      <c r="D235" s="33"/>
      <c r="E235" s="33"/>
      <c r="F235" s="33"/>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32"/>
      <c r="C236" s="33"/>
      <c r="D236" s="33"/>
      <c r="E236" s="33"/>
      <c r="F236" s="33"/>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32"/>
      <c r="C237" s="33"/>
      <c r="D237" s="33"/>
      <c r="E237" s="33"/>
      <c r="F237" s="33"/>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32"/>
      <c r="C238" s="33"/>
      <c r="D238" s="33"/>
      <c r="E238" s="33"/>
      <c r="F238" s="33"/>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32"/>
      <c r="C239" s="33"/>
      <c r="D239" s="33"/>
      <c r="E239" s="33"/>
      <c r="F239" s="33"/>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32"/>
      <c r="C240" s="33"/>
      <c r="D240" s="33"/>
      <c r="E240" s="33"/>
      <c r="F240" s="33"/>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32"/>
      <c r="C241" s="33"/>
      <c r="D241" s="33"/>
      <c r="E241" s="33"/>
      <c r="F241" s="33"/>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32"/>
      <c r="C242" s="33"/>
      <c r="D242" s="33"/>
      <c r="E242" s="33"/>
      <c r="F242" s="33"/>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32"/>
      <c r="C243" s="33"/>
      <c r="D243" s="33"/>
      <c r="E243" s="33"/>
      <c r="F243" s="33"/>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32"/>
      <c r="C244" s="33"/>
      <c r="D244" s="33"/>
      <c r="E244" s="33"/>
      <c r="F244" s="33"/>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32"/>
      <c r="C245" s="33"/>
      <c r="D245" s="33"/>
      <c r="E245" s="33"/>
      <c r="F245" s="33"/>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32"/>
      <c r="C246" s="33"/>
      <c r="D246" s="33"/>
      <c r="E246" s="33"/>
      <c r="F246" s="33"/>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32"/>
      <c r="C247" s="33"/>
      <c r="D247" s="33"/>
      <c r="E247" s="33"/>
      <c r="F247" s="33"/>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32"/>
      <c r="C248" s="33"/>
      <c r="D248" s="33"/>
      <c r="E248" s="33"/>
      <c r="F248" s="33"/>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32"/>
      <c r="C249" s="33"/>
      <c r="D249" s="33"/>
      <c r="E249" s="33"/>
      <c r="F249" s="33"/>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32"/>
      <c r="C250" s="33"/>
      <c r="D250" s="33"/>
      <c r="E250" s="33"/>
      <c r="F250" s="33"/>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32"/>
      <c r="C251" s="33"/>
      <c r="D251" s="33"/>
      <c r="E251" s="33"/>
      <c r="F251" s="33"/>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32"/>
      <c r="C252" s="33"/>
      <c r="D252" s="33"/>
      <c r="E252" s="33"/>
      <c r="F252" s="33"/>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32"/>
      <c r="C253" s="33"/>
      <c r="D253" s="33"/>
      <c r="E253" s="33"/>
      <c r="F253" s="33"/>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32"/>
      <c r="C254" s="33"/>
      <c r="D254" s="33"/>
      <c r="E254" s="33"/>
      <c r="F254" s="33"/>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32"/>
      <c r="C255" s="33"/>
      <c r="D255" s="33"/>
      <c r="E255" s="33"/>
      <c r="F255" s="33"/>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32"/>
      <c r="C256" s="33"/>
      <c r="D256" s="33"/>
      <c r="E256" s="33"/>
      <c r="F256" s="33"/>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32"/>
      <c r="C257" s="33"/>
      <c r="D257" s="33"/>
      <c r="E257" s="33"/>
      <c r="F257" s="33"/>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32"/>
      <c r="C258" s="33"/>
      <c r="D258" s="33"/>
      <c r="E258" s="33"/>
      <c r="F258" s="33"/>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32"/>
      <c r="C259" s="33"/>
      <c r="D259" s="33"/>
      <c r="E259" s="33"/>
      <c r="F259" s="33"/>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32"/>
      <c r="C260" s="33"/>
      <c r="D260" s="33"/>
      <c r="E260" s="33"/>
      <c r="F260" s="33"/>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32"/>
      <c r="C261" s="33"/>
      <c r="D261" s="33"/>
      <c r="E261" s="33"/>
      <c r="F261" s="33"/>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32"/>
      <c r="C262" s="33"/>
      <c r="D262" s="33"/>
      <c r="E262" s="33"/>
      <c r="F262" s="33"/>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32"/>
      <c r="C263" s="33"/>
      <c r="D263" s="33"/>
      <c r="E263" s="33"/>
      <c r="F263" s="33"/>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32"/>
      <c r="C264" s="33"/>
      <c r="D264" s="33"/>
      <c r="E264" s="33"/>
      <c r="F264" s="33"/>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32"/>
      <c r="C265" s="33"/>
      <c r="D265" s="33"/>
      <c r="E265" s="33"/>
      <c r="F265" s="33"/>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32"/>
      <c r="C266" s="33"/>
      <c r="D266" s="33"/>
      <c r="E266" s="33"/>
      <c r="F266" s="33"/>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32"/>
      <c r="C267" s="33"/>
      <c r="D267" s="33"/>
      <c r="E267" s="33"/>
      <c r="F267" s="33"/>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32"/>
      <c r="C268" s="33"/>
      <c r="D268" s="33"/>
      <c r="E268" s="33"/>
      <c r="F268" s="33"/>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32"/>
      <c r="C269" s="33"/>
      <c r="D269" s="33"/>
      <c r="E269" s="33"/>
      <c r="F269" s="33"/>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32"/>
      <c r="C270" s="33"/>
      <c r="D270" s="33"/>
      <c r="E270" s="33"/>
      <c r="F270" s="33"/>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32"/>
      <c r="C271" s="33"/>
      <c r="D271" s="33"/>
      <c r="E271" s="33"/>
      <c r="F271" s="33"/>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32"/>
      <c r="C272" s="33"/>
      <c r="D272" s="33"/>
      <c r="E272" s="33"/>
      <c r="F272" s="33"/>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32"/>
      <c r="C273" s="33"/>
      <c r="D273" s="33"/>
      <c r="E273" s="33"/>
      <c r="F273" s="33"/>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32"/>
      <c r="C274" s="33"/>
      <c r="D274" s="33"/>
      <c r="E274" s="33"/>
      <c r="F274" s="33"/>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32"/>
      <c r="C275" s="33"/>
      <c r="D275" s="33"/>
      <c r="E275" s="33"/>
      <c r="F275" s="33"/>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32"/>
      <c r="C276" s="33"/>
      <c r="D276" s="33"/>
      <c r="E276" s="33"/>
      <c r="F276" s="33"/>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32"/>
      <c r="C277" s="33"/>
      <c r="D277" s="33"/>
      <c r="E277" s="33"/>
      <c r="F277" s="33"/>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32"/>
      <c r="C278" s="33"/>
      <c r="D278" s="33"/>
      <c r="E278" s="33"/>
      <c r="F278" s="33"/>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32"/>
      <c r="C279" s="33"/>
      <c r="D279" s="33"/>
      <c r="E279" s="33"/>
      <c r="F279" s="33"/>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32"/>
      <c r="C280" s="33"/>
      <c r="D280" s="33"/>
      <c r="E280" s="33"/>
      <c r="F280" s="33"/>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32"/>
      <c r="C281" s="33"/>
      <c r="D281" s="33"/>
      <c r="E281" s="33"/>
      <c r="F281" s="33"/>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32"/>
      <c r="C282" s="33"/>
      <c r="D282" s="33"/>
      <c r="E282" s="33"/>
      <c r="F282" s="33"/>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32"/>
      <c r="C283" s="33"/>
      <c r="D283" s="33"/>
      <c r="E283" s="33"/>
      <c r="F283" s="33"/>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32"/>
      <c r="C284" s="33"/>
      <c r="D284" s="33"/>
      <c r="E284" s="33"/>
      <c r="F284" s="33"/>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32"/>
      <c r="C285" s="33"/>
      <c r="D285" s="33"/>
      <c r="E285" s="33"/>
      <c r="F285" s="33"/>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32"/>
      <c r="C286" s="33"/>
      <c r="D286" s="33"/>
      <c r="E286" s="33"/>
      <c r="F286" s="33"/>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32"/>
      <c r="C287" s="33"/>
      <c r="D287" s="33"/>
      <c r="E287" s="33"/>
      <c r="F287" s="33"/>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32"/>
      <c r="C288" s="33"/>
      <c r="D288" s="33"/>
      <c r="E288" s="33"/>
      <c r="F288" s="33"/>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32"/>
      <c r="C289" s="33"/>
      <c r="D289" s="33"/>
      <c r="E289" s="33"/>
      <c r="F289" s="33"/>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32"/>
      <c r="C290" s="33"/>
      <c r="D290" s="33"/>
      <c r="E290" s="33"/>
      <c r="F290" s="33"/>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32"/>
      <c r="C291" s="33"/>
      <c r="D291" s="33"/>
      <c r="E291" s="33"/>
      <c r="F291" s="33"/>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32"/>
      <c r="C292" s="33"/>
      <c r="D292" s="33"/>
      <c r="E292" s="33"/>
      <c r="F292" s="33"/>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32"/>
      <c r="C293" s="33"/>
      <c r="D293" s="33"/>
      <c r="E293" s="33"/>
      <c r="F293" s="33"/>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32"/>
      <c r="C294" s="33"/>
      <c r="D294" s="33"/>
      <c r="E294" s="33"/>
      <c r="F294" s="33"/>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32"/>
      <c r="C295" s="33"/>
      <c r="D295" s="33"/>
      <c r="E295" s="33"/>
      <c r="F295" s="33"/>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32"/>
      <c r="C296" s="33"/>
      <c r="D296" s="33"/>
      <c r="E296" s="33"/>
      <c r="F296" s="33"/>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32"/>
      <c r="C297" s="33"/>
      <c r="D297" s="33"/>
      <c r="E297" s="33"/>
      <c r="F297" s="33"/>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32"/>
      <c r="C298" s="33"/>
      <c r="D298" s="33"/>
      <c r="E298" s="33"/>
      <c r="F298" s="33"/>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32"/>
      <c r="C299" s="33"/>
      <c r="D299" s="33"/>
      <c r="E299" s="33"/>
      <c r="F299" s="33"/>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32"/>
      <c r="C300" s="33"/>
      <c r="D300" s="33"/>
      <c r="E300" s="33"/>
      <c r="F300" s="33"/>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32"/>
      <c r="C301" s="33"/>
      <c r="D301" s="33"/>
      <c r="E301" s="33"/>
      <c r="F301" s="33"/>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32"/>
      <c r="C302" s="33"/>
      <c r="D302" s="33"/>
      <c r="E302" s="33"/>
      <c r="F302" s="33"/>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32"/>
      <c r="C303" s="33"/>
      <c r="D303" s="33"/>
      <c r="E303" s="33"/>
      <c r="F303" s="33"/>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32"/>
      <c r="C304" s="33"/>
      <c r="D304" s="33"/>
      <c r="E304" s="33"/>
      <c r="F304" s="33"/>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32"/>
      <c r="C305" s="33"/>
      <c r="D305" s="33"/>
      <c r="E305" s="33"/>
      <c r="F305" s="33"/>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32"/>
      <c r="C306" s="33"/>
      <c r="D306" s="33"/>
      <c r="E306" s="33"/>
      <c r="F306" s="33"/>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32"/>
      <c r="C307" s="33"/>
      <c r="D307" s="33"/>
      <c r="E307" s="33"/>
      <c r="F307" s="33"/>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32"/>
      <c r="C308" s="33"/>
      <c r="D308" s="33"/>
      <c r="E308" s="33"/>
      <c r="F308" s="33"/>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32"/>
      <c r="C309" s="33"/>
      <c r="D309" s="33"/>
      <c r="E309" s="33"/>
      <c r="F309" s="33"/>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32"/>
      <c r="C310" s="33"/>
      <c r="D310" s="33"/>
      <c r="E310" s="33"/>
      <c r="F310" s="33"/>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32"/>
      <c r="C311" s="33"/>
      <c r="D311" s="33"/>
      <c r="E311" s="33"/>
      <c r="F311" s="33"/>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32"/>
      <c r="C312" s="33"/>
      <c r="D312" s="33"/>
      <c r="E312" s="33"/>
      <c r="F312" s="33"/>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32"/>
      <c r="C313" s="33"/>
      <c r="D313" s="33"/>
      <c r="E313" s="33"/>
      <c r="F313" s="33"/>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32"/>
      <c r="C314" s="33"/>
      <c r="D314" s="33"/>
      <c r="E314" s="33"/>
      <c r="F314" s="33"/>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32"/>
      <c r="C315" s="33"/>
      <c r="D315" s="33"/>
      <c r="E315" s="33"/>
      <c r="F315" s="33"/>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32"/>
      <c r="C316" s="33"/>
      <c r="D316" s="33"/>
      <c r="E316" s="33"/>
      <c r="F316" s="33"/>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32"/>
      <c r="C317" s="33"/>
      <c r="D317" s="33"/>
      <c r="E317" s="33"/>
      <c r="F317" s="33"/>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32"/>
      <c r="C318" s="33"/>
      <c r="D318" s="33"/>
      <c r="E318" s="33"/>
      <c r="F318" s="33"/>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32"/>
      <c r="C319" s="33"/>
      <c r="D319" s="33"/>
      <c r="E319" s="33"/>
      <c r="F319" s="33"/>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32"/>
      <c r="C320" s="33"/>
      <c r="D320" s="33"/>
      <c r="E320" s="33"/>
      <c r="F320" s="33"/>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32"/>
      <c r="C321" s="33"/>
      <c r="D321" s="33"/>
      <c r="E321" s="33"/>
      <c r="F321" s="33"/>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32"/>
      <c r="C322" s="33"/>
      <c r="D322" s="33"/>
      <c r="E322" s="33"/>
      <c r="F322" s="33"/>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32"/>
      <c r="C323" s="33"/>
      <c r="D323" s="33"/>
      <c r="E323" s="33"/>
      <c r="F323" s="33"/>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32"/>
      <c r="C324" s="33"/>
      <c r="D324" s="33"/>
      <c r="E324" s="33"/>
      <c r="F324" s="33"/>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32"/>
      <c r="C325" s="33"/>
      <c r="D325" s="33"/>
      <c r="E325" s="33"/>
      <c r="F325" s="33"/>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32"/>
      <c r="C326" s="33"/>
      <c r="D326" s="33"/>
      <c r="E326" s="33"/>
      <c r="F326" s="33"/>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32"/>
      <c r="C327" s="33"/>
      <c r="D327" s="33"/>
      <c r="E327" s="33"/>
      <c r="F327" s="33"/>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32"/>
      <c r="C328" s="33"/>
      <c r="D328" s="33"/>
      <c r="E328" s="33"/>
      <c r="F328" s="33"/>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32"/>
      <c r="C329" s="33"/>
      <c r="D329" s="33"/>
      <c r="E329" s="33"/>
      <c r="F329" s="33"/>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32"/>
      <c r="C330" s="33"/>
      <c r="D330" s="33"/>
      <c r="E330" s="33"/>
      <c r="F330" s="33"/>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32"/>
      <c r="C331" s="33"/>
      <c r="D331" s="33"/>
      <c r="E331" s="33"/>
      <c r="F331" s="33"/>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32"/>
      <c r="C332" s="33"/>
      <c r="D332" s="33"/>
      <c r="E332" s="33"/>
      <c r="F332" s="33"/>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32"/>
      <c r="C333" s="33"/>
      <c r="D333" s="33"/>
      <c r="E333" s="33"/>
      <c r="F333" s="33"/>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32"/>
      <c r="C334" s="33"/>
      <c r="D334" s="33"/>
      <c r="E334" s="33"/>
      <c r="F334" s="33"/>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32"/>
      <c r="C335" s="33"/>
      <c r="D335" s="33"/>
      <c r="E335" s="33"/>
      <c r="F335" s="33"/>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32"/>
      <c r="C336" s="33"/>
      <c r="D336" s="33"/>
      <c r="E336" s="33"/>
      <c r="F336" s="33"/>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32"/>
      <c r="C337" s="33"/>
      <c r="D337" s="33"/>
      <c r="E337" s="33"/>
      <c r="F337" s="33"/>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32"/>
      <c r="C338" s="33"/>
      <c r="D338" s="33"/>
      <c r="E338" s="33"/>
      <c r="F338" s="33"/>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32"/>
      <c r="C339" s="33"/>
      <c r="D339" s="33"/>
      <c r="E339" s="33"/>
      <c r="F339" s="33"/>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32"/>
      <c r="C340" s="33"/>
      <c r="D340" s="33"/>
      <c r="E340" s="33"/>
      <c r="F340" s="33"/>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32"/>
      <c r="C341" s="33"/>
      <c r="D341" s="33"/>
      <c r="E341" s="33"/>
      <c r="F341" s="33"/>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32"/>
      <c r="C342" s="33"/>
      <c r="D342" s="33"/>
      <c r="E342" s="33"/>
      <c r="F342" s="33"/>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32"/>
      <c r="C343" s="33"/>
      <c r="D343" s="33"/>
      <c r="E343" s="33"/>
      <c r="F343" s="33"/>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32"/>
      <c r="C344" s="33"/>
      <c r="D344" s="33"/>
      <c r="E344" s="33"/>
      <c r="F344" s="33"/>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32"/>
      <c r="C345" s="33"/>
      <c r="D345" s="33"/>
      <c r="E345" s="33"/>
      <c r="F345" s="33"/>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32"/>
      <c r="C346" s="33"/>
      <c r="D346" s="33"/>
      <c r="E346" s="33"/>
      <c r="F346" s="33"/>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32"/>
      <c r="C347" s="33"/>
      <c r="D347" s="33"/>
      <c r="E347" s="33"/>
      <c r="F347" s="33"/>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32"/>
      <c r="C348" s="33"/>
      <c r="D348" s="33"/>
      <c r="E348" s="33"/>
      <c r="F348" s="33"/>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32"/>
      <c r="C349" s="33"/>
      <c r="D349" s="33"/>
      <c r="E349" s="33"/>
      <c r="F349" s="33"/>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32"/>
      <c r="C350" s="33"/>
      <c r="D350" s="33"/>
      <c r="E350" s="33"/>
      <c r="F350" s="33"/>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32"/>
      <c r="C351" s="33"/>
      <c r="D351" s="33"/>
      <c r="E351" s="33"/>
      <c r="F351" s="33"/>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32"/>
      <c r="C352" s="33"/>
      <c r="D352" s="33"/>
      <c r="E352" s="33"/>
      <c r="F352" s="33"/>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32"/>
      <c r="C353" s="33"/>
      <c r="D353" s="33"/>
      <c r="E353" s="33"/>
      <c r="F353" s="33"/>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32"/>
      <c r="C354" s="33"/>
      <c r="D354" s="33"/>
      <c r="E354" s="33"/>
      <c r="F354" s="33"/>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32"/>
      <c r="C355" s="33"/>
      <c r="D355" s="33"/>
      <c r="E355" s="33"/>
      <c r="F355" s="33"/>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32"/>
      <c r="C356" s="33"/>
      <c r="D356" s="33"/>
      <c r="E356" s="33"/>
      <c r="F356" s="33"/>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32"/>
      <c r="C357" s="33"/>
      <c r="D357" s="33"/>
      <c r="E357" s="33"/>
      <c r="F357" s="33"/>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32"/>
      <c r="C358" s="33"/>
      <c r="D358" s="33"/>
      <c r="E358" s="33"/>
      <c r="F358" s="33"/>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32"/>
      <c r="C359" s="33"/>
      <c r="D359" s="33"/>
      <c r="E359" s="33"/>
      <c r="F359" s="33"/>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32"/>
      <c r="C360" s="33"/>
      <c r="D360" s="33"/>
      <c r="E360" s="33"/>
      <c r="F360" s="33"/>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32"/>
      <c r="C361" s="33"/>
      <c r="D361" s="33"/>
      <c r="E361" s="33"/>
      <c r="F361" s="33"/>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32"/>
      <c r="C362" s="33"/>
      <c r="D362" s="33"/>
      <c r="E362" s="33"/>
      <c r="F362" s="33"/>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32"/>
      <c r="C363" s="33"/>
      <c r="D363" s="33"/>
      <c r="E363" s="33"/>
      <c r="F363" s="33"/>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32"/>
      <c r="C364" s="33"/>
      <c r="D364" s="33"/>
      <c r="E364" s="33"/>
      <c r="F364" s="33"/>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32"/>
      <c r="C365" s="33"/>
      <c r="D365" s="33"/>
      <c r="E365" s="33"/>
      <c r="F365" s="33"/>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32"/>
      <c r="C366" s="33"/>
      <c r="D366" s="33"/>
      <c r="E366" s="33"/>
      <c r="F366" s="33"/>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32"/>
      <c r="C367" s="33"/>
      <c r="D367" s="33"/>
      <c r="E367" s="33"/>
      <c r="F367" s="33"/>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32"/>
      <c r="C368" s="33"/>
      <c r="D368" s="33"/>
      <c r="E368" s="33"/>
      <c r="F368" s="33"/>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32"/>
      <c r="C369" s="33"/>
      <c r="D369" s="33"/>
      <c r="E369" s="33"/>
      <c r="F369" s="33"/>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32"/>
      <c r="C370" s="33"/>
      <c r="D370" s="33"/>
      <c r="E370" s="33"/>
      <c r="F370" s="33"/>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32"/>
      <c r="C371" s="33"/>
      <c r="D371" s="33"/>
      <c r="E371" s="33"/>
      <c r="F371" s="33"/>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32"/>
      <c r="C372" s="33"/>
      <c r="D372" s="33"/>
      <c r="E372" s="33"/>
      <c r="F372" s="33"/>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32"/>
      <c r="C373" s="33"/>
      <c r="D373" s="33"/>
      <c r="E373" s="33"/>
      <c r="F373" s="33"/>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32"/>
      <c r="C374" s="33"/>
      <c r="D374" s="33"/>
      <c r="E374" s="33"/>
      <c r="F374" s="33"/>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32"/>
      <c r="C375" s="33"/>
      <c r="D375" s="33"/>
      <c r="E375" s="33"/>
      <c r="F375" s="33"/>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32"/>
      <c r="C376" s="33"/>
      <c r="D376" s="33"/>
      <c r="E376" s="33"/>
      <c r="F376" s="33"/>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32"/>
      <c r="C377" s="33"/>
      <c r="D377" s="33"/>
      <c r="E377" s="33"/>
      <c r="F377" s="33"/>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32"/>
      <c r="C378" s="33"/>
      <c r="D378" s="33"/>
      <c r="E378" s="33"/>
      <c r="F378" s="33"/>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32"/>
      <c r="C379" s="33"/>
      <c r="D379" s="33"/>
      <c r="E379" s="33"/>
      <c r="F379" s="33"/>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32"/>
      <c r="C380" s="33"/>
      <c r="D380" s="33"/>
      <c r="E380" s="33"/>
      <c r="F380" s="33"/>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32"/>
      <c r="C381" s="33"/>
      <c r="D381" s="33"/>
      <c r="E381" s="33"/>
      <c r="F381" s="33"/>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32"/>
      <c r="C382" s="33"/>
      <c r="D382" s="33"/>
      <c r="E382" s="33"/>
      <c r="F382" s="33"/>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32"/>
      <c r="C383" s="33"/>
      <c r="D383" s="33"/>
      <c r="E383" s="33"/>
      <c r="F383" s="33"/>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32"/>
      <c r="C384" s="33"/>
      <c r="D384" s="33"/>
      <c r="E384" s="33"/>
      <c r="F384" s="33"/>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32"/>
      <c r="C385" s="33"/>
      <c r="D385" s="33"/>
      <c r="E385" s="33"/>
      <c r="F385" s="33"/>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32"/>
      <c r="C386" s="33"/>
      <c r="D386" s="33"/>
      <c r="E386" s="33"/>
      <c r="F386" s="33"/>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32"/>
      <c r="C387" s="33"/>
      <c r="D387" s="33"/>
      <c r="E387" s="33"/>
      <c r="F387" s="33"/>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32"/>
      <c r="C388" s="33"/>
      <c r="D388" s="33"/>
      <c r="E388" s="33"/>
      <c r="F388" s="33"/>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32"/>
      <c r="C389" s="33"/>
      <c r="D389" s="33"/>
      <c r="E389" s="33"/>
      <c r="F389" s="33"/>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32"/>
      <c r="C390" s="33"/>
      <c r="D390" s="33"/>
      <c r="E390" s="33"/>
      <c r="F390" s="33"/>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32"/>
      <c r="C391" s="33"/>
      <c r="D391" s="33"/>
      <c r="E391" s="33"/>
      <c r="F391" s="33"/>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32"/>
      <c r="C392" s="33"/>
      <c r="D392" s="33"/>
      <c r="E392" s="33"/>
      <c r="F392" s="33"/>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32"/>
      <c r="C393" s="33"/>
      <c r="D393" s="33"/>
      <c r="E393" s="33"/>
      <c r="F393" s="33"/>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32"/>
      <c r="C394" s="33"/>
      <c r="D394" s="33"/>
      <c r="E394" s="33"/>
      <c r="F394" s="33"/>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32"/>
      <c r="C395" s="33"/>
      <c r="D395" s="33"/>
      <c r="E395" s="33"/>
      <c r="F395" s="33"/>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32"/>
      <c r="C396" s="33"/>
      <c r="D396" s="33"/>
      <c r="E396" s="33"/>
      <c r="F396" s="33"/>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32"/>
      <c r="C397" s="33"/>
      <c r="D397" s="33"/>
      <c r="E397" s="33"/>
      <c r="F397" s="33"/>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32"/>
      <c r="C398" s="33"/>
      <c r="D398" s="33"/>
      <c r="E398" s="33"/>
      <c r="F398" s="33"/>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32"/>
      <c r="C399" s="33"/>
      <c r="D399" s="33"/>
      <c r="E399" s="33"/>
      <c r="F399" s="33"/>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32"/>
      <c r="C400" s="33"/>
      <c r="D400" s="33"/>
      <c r="E400" s="33"/>
      <c r="F400" s="33"/>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32"/>
      <c r="C401" s="33"/>
      <c r="D401" s="33"/>
      <c r="E401" s="33"/>
      <c r="F401" s="33"/>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32"/>
      <c r="C402" s="33"/>
      <c r="D402" s="33"/>
      <c r="E402" s="33"/>
      <c r="F402" s="33"/>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32"/>
      <c r="C403" s="33"/>
      <c r="D403" s="33"/>
      <c r="E403" s="33"/>
      <c r="F403" s="33"/>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32"/>
      <c r="C404" s="33"/>
      <c r="D404" s="33"/>
      <c r="E404" s="33"/>
      <c r="F404" s="33"/>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32"/>
      <c r="C405" s="33"/>
      <c r="D405" s="33"/>
      <c r="E405" s="33"/>
      <c r="F405" s="33"/>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32"/>
      <c r="C406" s="33"/>
      <c r="D406" s="33"/>
      <c r="E406" s="33"/>
      <c r="F406" s="33"/>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32"/>
      <c r="C407" s="33"/>
      <c r="D407" s="33"/>
      <c r="E407" s="33"/>
      <c r="F407" s="33"/>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32"/>
      <c r="C408" s="33"/>
      <c r="D408" s="33"/>
      <c r="E408" s="33"/>
      <c r="F408" s="33"/>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32"/>
      <c r="C409" s="33"/>
      <c r="D409" s="33"/>
      <c r="E409" s="33"/>
      <c r="F409" s="33"/>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32"/>
      <c r="C410" s="33"/>
      <c r="D410" s="33"/>
      <c r="E410" s="33"/>
      <c r="F410" s="33"/>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32"/>
      <c r="C411" s="33"/>
      <c r="D411" s="33"/>
      <c r="E411" s="33"/>
      <c r="F411" s="33"/>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32"/>
      <c r="C412" s="33"/>
      <c r="D412" s="33"/>
      <c r="E412" s="33"/>
      <c r="F412" s="33"/>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32"/>
      <c r="C413" s="33"/>
      <c r="D413" s="33"/>
      <c r="E413" s="33"/>
      <c r="F413" s="33"/>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32"/>
      <c r="C414" s="33"/>
      <c r="D414" s="33"/>
      <c r="E414" s="33"/>
      <c r="F414" s="33"/>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32"/>
      <c r="C415" s="33"/>
      <c r="D415" s="33"/>
      <c r="E415" s="33"/>
      <c r="F415" s="33"/>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32"/>
      <c r="C416" s="33"/>
      <c r="D416" s="33"/>
      <c r="E416" s="33"/>
      <c r="F416" s="33"/>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32"/>
      <c r="C417" s="33"/>
      <c r="D417" s="33"/>
      <c r="E417" s="33"/>
      <c r="F417" s="33"/>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32"/>
      <c r="C418" s="33"/>
      <c r="D418" s="33"/>
      <c r="E418" s="33"/>
      <c r="F418" s="33"/>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32"/>
      <c r="C419" s="33"/>
      <c r="D419" s="33"/>
      <c r="E419" s="33"/>
      <c r="F419" s="33"/>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32"/>
      <c r="C420" s="33"/>
      <c r="D420" s="33"/>
      <c r="E420" s="33"/>
      <c r="F420" s="33"/>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32"/>
      <c r="C421" s="33"/>
      <c r="D421" s="33"/>
      <c r="E421" s="33"/>
      <c r="F421" s="33"/>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32"/>
      <c r="C422" s="33"/>
      <c r="D422" s="33"/>
      <c r="E422" s="33"/>
      <c r="F422" s="33"/>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32"/>
      <c r="C423" s="33"/>
      <c r="D423" s="33"/>
      <c r="E423" s="33"/>
      <c r="F423" s="33"/>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32"/>
      <c r="C424" s="33"/>
      <c r="D424" s="33"/>
      <c r="E424" s="33"/>
      <c r="F424" s="33"/>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32"/>
      <c r="C425" s="33"/>
      <c r="D425" s="33"/>
      <c r="E425" s="33"/>
      <c r="F425" s="33"/>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32"/>
      <c r="C426" s="33"/>
      <c r="D426" s="33"/>
      <c r="E426" s="33"/>
      <c r="F426" s="33"/>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32"/>
      <c r="C427" s="33"/>
      <c r="D427" s="33"/>
      <c r="E427" s="33"/>
      <c r="F427" s="33"/>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32"/>
      <c r="C428" s="33"/>
      <c r="D428" s="33"/>
      <c r="E428" s="33"/>
      <c r="F428" s="33"/>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32"/>
      <c r="C429" s="33"/>
      <c r="D429" s="33"/>
      <c r="E429" s="33"/>
      <c r="F429" s="33"/>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32"/>
      <c r="C430" s="33"/>
      <c r="D430" s="33"/>
      <c r="E430" s="33"/>
      <c r="F430" s="33"/>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32"/>
      <c r="C431" s="33"/>
      <c r="D431" s="33"/>
      <c r="E431" s="33"/>
      <c r="F431" s="33"/>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32"/>
      <c r="C432" s="33"/>
      <c r="D432" s="33"/>
      <c r="E432" s="33"/>
      <c r="F432" s="33"/>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32"/>
      <c r="C433" s="33"/>
      <c r="D433" s="33"/>
      <c r="E433" s="33"/>
      <c r="F433" s="33"/>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32"/>
      <c r="C434" s="33"/>
      <c r="D434" s="33"/>
      <c r="E434" s="33"/>
      <c r="F434" s="33"/>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32"/>
      <c r="C435" s="33"/>
      <c r="D435" s="33"/>
      <c r="E435" s="33"/>
      <c r="F435" s="33"/>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32"/>
      <c r="C436" s="33"/>
      <c r="D436" s="33"/>
      <c r="E436" s="33"/>
      <c r="F436" s="33"/>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32"/>
      <c r="C437" s="33"/>
      <c r="D437" s="33"/>
      <c r="E437" s="33"/>
      <c r="F437" s="33"/>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32"/>
      <c r="C438" s="33"/>
      <c r="D438" s="33"/>
      <c r="E438" s="33"/>
      <c r="F438" s="33"/>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32"/>
      <c r="C439" s="33"/>
      <c r="D439" s="33"/>
      <c r="E439" s="33"/>
      <c r="F439" s="33"/>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32"/>
      <c r="C440" s="33"/>
      <c r="D440" s="33"/>
      <c r="E440" s="33"/>
      <c r="F440" s="33"/>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32"/>
      <c r="C441" s="33"/>
      <c r="D441" s="33"/>
      <c r="E441" s="33"/>
      <c r="F441" s="33"/>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32"/>
      <c r="C442" s="33"/>
      <c r="D442" s="33"/>
      <c r="E442" s="33"/>
      <c r="F442" s="33"/>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32"/>
      <c r="C443" s="33"/>
      <c r="D443" s="33"/>
      <c r="E443" s="33"/>
      <c r="F443" s="33"/>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32"/>
      <c r="C444" s="33"/>
      <c r="D444" s="33"/>
      <c r="E444" s="33"/>
      <c r="F444" s="33"/>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32"/>
      <c r="C445" s="33"/>
      <c r="D445" s="33"/>
      <c r="E445" s="33"/>
      <c r="F445" s="33"/>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32"/>
      <c r="C446" s="33"/>
      <c r="D446" s="33"/>
      <c r="E446" s="33"/>
      <c r="F446" s="33"/>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32"/>
      <c r="C447" s="33"/>
      <c r="D447" s="33"/>
      <c r="E447" s="33"/>
      <c r="F447" s="33"/>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32"/>
      <c r="C448" s="33"/>
      <c r="D448" s="33"/>
      <c r="E448" s="33"/>
      <c r="F448" s="33"/>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32"/>
      <c r="C449" s="33"/>
      <c r="D449" s="33"/>
      <c r="E449" s="33"/>
      <c r="F449" s="33"/>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32"/>
      <c r="C450" s="33"/>
      <c r="D450" s="33"/>
      <c r="E450" s="33"/>
      <c r="F450" s="33"/>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32"/>
      <c r="C451" s="33"/>
      <c r="D451" s="33"/>
      <c r="E451" s="33"/>
      <c r="F451" s="33"/>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32"/>
      <c r="C452" s="33"/>
      <c r="D452" s="33"/>
      <c r="E452" s="33"/>
      <c r="F452" s="33"/>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32"/>
      <c r="C453" s="33"/>
      <c r="D453" s="33"/>
      <c r="E453" s="33"/>
      <c r="F453" s="33"/>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32"/>
      <c r="C454" s="33"/>
      <c r="D454" s="33"/>
      <c r="E454" s="33"/>
      <c r="F454" s="33"/>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32"/>
      <c r="C455" s="33"/>
      <c r="D455" s="33"/>
      <c r="E455" s="33"/>
      <c r="F455" s="33"/>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32"/>
      <c r="C456" s="33"/>
      <c r="D456" s="33"/>
      <c r="E456" s="33"/>
      <c r="F456" s="33"/>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32"/>
      <c r="C457" s="33"/>
      <c r="D457" s="33"/>
      <c r="E457" s="33"/>
      <c r="F457" s="33"/>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32"/>
      <c r="C458" s="33"/>
      <c r="D458" s="33"/>
      <c r="E458" s="33"/>
      <c r="F458" s="33"/>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32"/>
      <c r="C459" s="33"/>
      <c r="D459" s="33"/>
      <c r="E459" s="33"/>
      <c r="F459" s="33"/>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32"/>
      <c r="C460" s="33"/>
      <c r="D460" s="33"/>
      <c r="E460" s="33"/>
      <c r="F460" s="33"/>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32"/>
      <c r="C461" s="33"/>
      <c r="D461" s="33"/>
      <c r="E461" s="33"/>
      <c r="F461" s="33"/>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32"/>
      <c r="C462" s="33"/>
      <c r="D462" s="33"/>
      <c r="E462" s="33"/>
      <c r="F462" s="33"/>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32"/>
      <c r="C463" s="33"/>
      <c r="D463" s="33"/>
      <c r="E463" s="33"/>
      <c r="F463" s="33"/>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32"/>
      <c r="C464" s="33"/>
      <c r="D464" s="33"/>
      <c r="E464" s="33"/>
      <c r="F464" s="33"/>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32"/>
      <c r="C465" s="33"/>
      <c r="D465" s="33"/>
      <c r="E465" s="33"/>
      <c r="F465" s="33"/>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32"/>
      <c r="C466" s="33"/>
      <c r="D466" s="33"/>
      <c r="E466" s="33"/>
      <c r="F466" s="33"/>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32"/>
      <c r="C467" s="33"/>
      <c r="D467" s="33"/>
      <c r="E467" s="33"/>
      <c r="F467" s="33"/>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32"/>
      <c r="C468" s="33"/>
      <c r="D468" s="33"/>
      <c r="E468" s="33"/>
      <c r="F468" s="33"/>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32"/>
      <c r="C469" s="33"/>
      <c r="D469" s="33"/>
      <c r="E469" s="33"/>
      <c r="F469" s="33"/>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32"/>
      <c r="C470" s="33"/>
      <c r="D470" s="33"/>
      <c r="E470" s="33"/>
      <c r="F470" s="33"/>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32"/>
      <c r="C471" s="33"/>
      <c r="D471" s="33"/>
      <c r="E471" s="33"/>
      <c r="F471" s="33"/>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32"/>
      <c r="C472" s="33"/>
      <c r="D472" s="33"/>
      <c r="E472" s="33"/>
      <c r="F472" s="33"/>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32"/>
      <c r="C473" s="33"/>
      <c r="D473" s="33"/>
      <c r="E473" s="33"/>
      <c r="F473" s="33"/>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32"/>
      <c r="C474" s="33"/>
      <c r="D474" s="33"/>
      <c r="E474" s="33"/>
      <c r="F474" s="33"/>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32"/>
      <c r="C475" s="33"/>
      <c r="D475" s="33"/>
      <c r="E475" s="33"/>
      <c r="F475" s="33"/>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32"/>
      <c r="C476" s="33"/>
      <c r="D476" s="33"/>
      <c r="E476" s="33"/>
      <c r="F476" s="33"/>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32"/>
      <c r="C477" s="33"/>
      <c r="D477" s="33"/>
      <c r="E477" s="33"/>
      <c r="F477" s="33"/>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32"/>
      <c r="C478" s="33"/>
      <c r="D478" s="33"/>
      <c r="E478" s="33"/>
      <c r="F478" s="33"/>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32"/>
      <c r="C479" s="33"/>
      <c r="D479" s="33"/>
      <c r="E479" s="33"/>
      <c r="F479" s="33"/>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32"/>
      <c r="C480" s="33"/>
      <c r="D480" s="33"/>
      <c r="E480" s="33"/>
      <c r="F480" s="33"/>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32"/>
      <c r="C481" s="33"/>
      <c r="D481" s="33"/>
      <c r="E481" s="33"/>
      <c r="F481" s="33"/>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32"/>
      <c r="C482" s="33"/>
      <c r="D482" s="33"/>
      <c r="E482" s="33"/>
      <c r="F482" s="33"/>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32"/>
      <c r="C483" s="33"/>
      <c r="D483" s="33"/>
      <c r="E483" s="33"/>
      <c r="F483" s="33"/>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32"/>
      <c r="C484" s="33"/>
      <c r="D484" s="33"/>
      <c r="E484" s="33"/>
      <c r="F484" s="33"/>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32"/>
      <c r="C485" s="33"/>
      <c r="D485" s="33"/>
      <c r="E485" s="33"/>
      <c r="F485" s="33"/>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32"/>
      <c r="C486" s="33"/>
      <c r="D486" s="33"/>
      <c r="E486" s="33"/>
      <c r="F486" s="33"/>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32"/>
      <c r="C487" s="33"/>
      <c r="D487" s="33"/>
      <c r="E487" s="33"/>
      <c r="F487" s="33"/>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32"/>
      <c r="C488" s="33"/>
      <c r="D488" s="33"/>
      <c r="E488" s="33"/>
      <c r="F488" s="33"/>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32"/>
      <c r="C489" s="33"/>
      <c r="D489" s="33"/>
      <c r="E489" s="33"/>
      <c r="F489" s="33"/>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32"/>
      <c r="C490" s="33"/>
      <c r="D490" s="33"/>
      <c r="E490" s="33"/>
      <c r="F490" s="33"/>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32"/>
      <c r="C491" s="33"/>
      <c r="D491" s="33"/>
      <c r="E491" s="33"/>
      <c r="F491" s="33"/>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32"/>
      <c r="C492" s="33"/>
      <c r="D492" s="33"/>
      <c r="E492" s="33"/>
      <c r="F492" s="33"/>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32"/>
      <c r="C493" s="33"/>
      <c r="D493" s="33"/>
      <c r="E493" s="33"/>
      <c r="F493" s="33"/>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32"/>
      <c r="C494" s="33"/>
      <c r="D494" s="33"/>
      <c r="E494" s="33"/>
      <c r="F494" s="33"/>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32"/>
      <c r="C495" s="33"/>
      <c r="D495" s="33"/>
      <c r="E495" s="33"/>
      <c r="F495" s="33"/>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32"/>
      <c r="C496" s="33"/>
      <c r="D496" s="33"/>
      <c r="E496" s="33"/>
      <c r="F496" s="33"/>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32"/>
      <c r="C497" s="33"/>
      <c r="D497" s="33"/>
      <c r="E497" s="33"/>
      <c r="F497" s="33"/>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32"/>
      <c r="C498" s="33"/>
      <c r="D498" s="33"/>
      <c r="E498" s="33"/>
      <c r="F498" s="33"/>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32"/>
      <c r="C499" s="33"/>
      <c r="D499" s="33"/>
      <c r="E499" s="33"/>
      <c r="F499" s="33"/>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32"/>
      <c r="C500" s="33"/>
      <c r="D500" s="33"/>
      <c r="E500" s="33"/>
      <c r="F500" s="33"/>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32"/>
      <c r="C501" s="33"/>
      <c r="D501" s="33"/>
      <c r="E501" s="33"/>
      <c r="F501" s="33"/>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32"/>
      <c r="C502" s="33"/>
      <c r="D502" s="33"/>
      <c r="E502" s="33"/>
      <c r="F502" s="33"/>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32"/>
      <c r="C503" s="33"/>
      <c r="D503" s="33"/>
      <c r="E503" s="33"/>
      <c r="F503" s="33"/>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32"/>
      <c r="C504" s="33"/>
      <c r="D504" s="33"/>
      <c r="E504" s="33"/>
      <c r="F504" s="33"/>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32"/>
      <c r="C505" s="33"/>
      <c r="D505" s="33"/>
      <c r="E505" s="33"/>
      <c r="F505" s="33"/>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32"/>
      <c r="C506" s="33"/>
      <c r="D506" s="33"/>
      <c r="E506" s="33"/>
      <c r="F506" s="33"/>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32"/>
      <c r="C507" s="33"/>
      <c r="D507" s="33"/>
      <c r="E507" s="33"/>
      <c r="F507" s="33"/>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32"/>
      <c r="C508" s="33"/>
      <c r="D508" s="33"/>
      <c r="E508" s="33"/>
      <c r="F508" s="33"/>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32"/>
      <c r="C509" s="33"/>
      <c r="D509" s="33"/>
      <c r="E509" s="33"/>
      <c r="F509" s="33"/>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32"/>
      <c r="C510" s="33"/>
      <c r="D510" s="33"/>
      <c r="E510" s="33"/>
      <c r="F510" s="33"/>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32"/>
      <c r="C511" s="33"/>
      <c r="D511" s="33"/>
      <c r="E511" s="33"/>
      <c r="F511" s="33"/>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32"/>
      <c r="C512" s="33"/>
      <c r="D512" s="33"/>
      <c r="E512" s="33"/>
      <c r="F512" s="33"/>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32"/>
      <c r="C513" s="33"/>
      <c r="D513" s="33"/>
      <c r="E513" s="33"/>
      <c r="F513" s="33"/>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32"/>
      <c r="C514" s="33"/>
      <c r="D514" s="33"/>
      <c r="E514" s="33"/>
      <c r="F514" s="33"/>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32"/>
      <c r="C515" s="33"/>
      <c r="D515" s="33"/>
      <c r="E515" s="33"/>
      <c r="F515" s="33"/>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32"/>
      <c r="C516" s="33"/>
      <c r="D516" s="33"/>
      <c r="E516" s="33"/>
      <c r="F516" s="33"/>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32"/>
      <c r="C517" s="33"/>
      <c r="D517" s="33"/>
      <c r="E517" s="33"/>
      <c r="F517" s="33"/>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32"/>
      <c r="C518" s="33"/>
      <c r="D518" s="33"/>
      <c r="E518" s="33"/>
      <c r="F518" s="33"/>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32"/>
      <c r="C519" s="33"/>
      <c r="D519" s="33"/>
      <c r="E519" s="33"/>
      <c r="F519" s="33"/>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32"/>
      <c r="C520" s="33"/>
      <c r="D520" s="33"/>
      <c r="E520" s="33"/>
      <c r="F520" s="33"/>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32"/>
      <c r="C521" s="33"/>
      <c r="D521" s="33"/>
      <c r="E521" s="33"/>
      <c r="F521" s="33"/>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32"/>
      <c r="C522" s="33"/>
      <c r="D522" s="33"/>
      <c r="E522" s="33"/>
      <c r="F522" s="33"/>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32"/>
      <c r="C523" s="33"/>
      <c r="D523" s="33"/>
      <c r="E523" s="33"/>
      <c r="F523" s="33"/>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32"/>
      <c r="C524" s="33"/>
      <c r="D524" s="33"/>
      <c r="E524" s="33"/>
      <c r="F524" s="33"/>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32"/>
      <c r="C525" s="33"/>
      <c r="D525" s="33"/>
      <c r="E525" s="33"/>
      <c r="F525" s="33"/>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32"/>
      <c r="C526" s="33"/>
      <c r="D526" s="33"/>
      <c r="E526" s="33"/>
      <c r="F526" s="33"/>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32"/>
      <c r="C527" s="33"/>
      <c r="D527" s="33"/>
      <c r="E527" s="33"/>
      <c r="F527" s="33"/>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32"/>
      <c r="C528" s="33"/>
      <c r="D528" s="33"/>
      <c r="E528" s="33"/>
      <c r="F528" s="33"/>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32"/>
      <c r="C529" s="33"/>
      <c r="D529" s="33"/>
      <c r="E529" s="33"/>
      <c r="F529" s="33"/>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32"/>
      <c r="C530" s="33"/>
      <c r="D530" s="33"/>
      <c r="E530" s="33"/>
      <c r="F530" s="33"/>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32"/>
      <c r="C531" s="33"/>
      <c r="D531" s="33"/>
      <c r="E531" s="33"/>
      <c r="F531" s="33"/>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32"/>
      <c r="C532" s="33"/>
      <c r="D532" s="33"/>
      <c r="E532" s="33"/>
      <c r="F532" s="33"/>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32"/>
      <c r="C533" s="33"/>
      <c r="D533" s="33"/>
      <c r="E533" s="33"/>
      <c r="F533" s="33"/>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32"/>
      <c r="C534" s="33"/>
      <c r="D534" s="33"/>
      <c r="E534" s="33"/>
      <c r="F534" s="33"/>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32"/>
      <c r="C535" s="33"/>
      <c r="D535" s="33"/>
      <c r="E535" s="33"/>
      <c r="F535" s="33"/>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32"/>
      <c r="C536" s="33"/>
      <c r="D536" s="33"/>
      <c r="E536" s="33"/>
      <c r="F536" s="33"/>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32"/>
      <c r="C537" s="33"/>
      <c r="D537" s="33"/>
      <c r="E537" s="33"/>
      <c r="F537" s="33"/>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32"/>
      <c r="C538" s="33"/>
      <c r="D538" s="33"/>
      <c r="E538" s="33"/>
      <c r="F538" s="33"/>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32"/>
      <c r="C539" s="33"/>
      <c r="D539" s="33"/>
      <c r="E539" s="33"/>
      <c r="F539" s="33"/>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32"/>
      <c r="C540" s="33"/>
      <c r="D540" s="33"/>
      <c r="E540" s="33"/>
      <c r="F540" s="33"/>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32"/>
      <c r="C541" s="33"/>
      <c r="D541" s="33"/>
      <c r="E541" s="33"/>
      <c r="F541" s="33"/>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32"/>
      <c r="C542" s="33"/>
      <c r="D542" s="33"/>
      <c r="E542" s="33"/>
      <c r="F542" s="33"/>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32"/>
      <c r="C543" s="33"/>
      <c r="D543" s="33"/>
      <c r="E543" s="33"/>
      <c r="F543" s="33"/>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32"/>
      <c r="C544" s="33"/>
      <c r="D544" s="33"/>
      <c r="E544" s="33"/>
      <c r="F544" s="33"/>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32"/>
      <c r="C545" s="33"/>
      <c r="D545" s="33"/>
      <c r="E545" s="33"/>
      <c r="F545" s="33"/>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32"/>
      <c r="C546" s="33"/>
      <c r="D546" s="33"/>
      <c r="E546" s="33"/>
      <c r="F546" s="33"/>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32"/>
      <c r="C547" s="33"/>
      <c r="D547" s="33"/>
      <c r="E547" s="33"/>
      <c r="F547" s="33"/>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32"/>
      <c r="C548" s="33"/>
      <c r="D548" s="33"/>
      <c r="E548" s="33"/>
      <c r="F548" s="33"/>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32"/>
      <c r="C549" s="33"/>
      <c r="D549" s="33"/>
      <c r="E549" s="33"/>
      <c r="F549" s="33"/>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32"/>
      <c r="C550" s="33"/>
      <c r="D550" s="33"/>
      <c r="E550" s="33"/>
      <c r="F550" s="33"/>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32"/>
      <c r="C551" s="33"/>
      <c r="D551" s="33"/>
      <c r="E551" s="33"/>
      <c r="F551" s="33"/>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32"/>
      <c r="C552" s="33"/>
      <c r="D552" s="33"/>
      <c r="E552" s="33"/>
      <c r="F552" s="33"/>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32"/>
      <c r="C553" s="33"/>
      <c r="D553" s="33"/>
      <c r="E553" s="33"/>
      <c r="F553" s="33"/>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32"/>
      <c r="C554" s="33"/>
      <c r="D554" s="33"/>
      <c r="E554" s="33"/>
      <c r="F554" s="33"/>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32"/>
      <c r="C555" s="33"/>
      <c r="D555" s="33"/>
      <c r="E555" s="33"/>
      <c r="F555" s="33"/>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32"/>
      <c r="C556" s="33"/>
      <c r="D556" s="33"/>
      <c r="E556" s="33"/>
      <c r="F556" s="33"/>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32"/>
      <c r="C557" s="33"/>
      <c r="D557" s="33"/>
      <c r="E557" s="33"/>
      <c r="F557" s="33"/>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32"/>
      <c r="C558" s="33"/>
      <c r="D558" s="33"/>
      <c r="E558" s="33"/>
      <c r="F558" s="33"/>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32"/>
      <c r="C559" s="33"/>
      <c r="D559" s="33"/>
      <c r="E559" s="33"/>
      <c r="F559" s="33"/>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32"/>
      <c r="C560" s="33"/>
      <c r="D560" s="33"/>
      <c r="E560" s="33"/>
      <c r="F560" s="33"/>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32"/>
      <c r="C561" s="33"/>
      <c r="D561" s="33"/>
      <c r="E561" s="33"/>
      <c r="F561" s="33"/>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32"/>
      <c r="C562" s="33"/>
      <c r="D562" s="33"/>
      <c r="E562" s="33"/>
      <c r="F562" s="33"/>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32"/>
      <c r="C563" s="33"/>
      <c r="D563" s="33"/>
      <c r="E563" s="33"/>
      <c r="F563" s="33"/>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32"/>
      <c r="C564" s="33"/>
      <c r="D564" s="33"/>
      <c r="E564" s="33"/>
      <c r="F564" s="33"/>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32"/>
      <c r="C565" s="33"/>
      <c r="D565" s="33"/>
      <c r="E565" s="33"/>
      <c r="F565" s="33"/>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32"/>
      <c r="C566" s="33"/>
      <c r="D566" s="33"/>
      <c r="E566" s="33"/>
      <c r="F566" s="33"/>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32"/>
      <c r="C567" s="33"/>
      <c r="D567" s="33"/>
      <c r="E567" s="33"/>
      <c r="F567" s="33"/>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32"/>
      <c r="C568" s="33"/>
      <c r="D568" s="33"/>
      <c r="E568" s="33"/>
      <c r="F568" s="33"/>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32"/>
      <c r="C569" s="33"/>
      <c r="D569" s="33"/>
      <c r="E569" s="33"/>
      <c r="F569" s="33"/>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32"/>
      <c r="C570" s="33"/>
      <c r="D570" s="33"/>
      <c r="E570" s="33"/>
      <c r="F570" s="33"/>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32"/>
      <c r="C571" s="33"/>
      <c r="D571" s="33"/>
      <c r="E571" s="33"/>
      <c r="F571" s="33"/>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32"/>
      <c r="C572" s="33"/>
      <c r="D572" s="33"/>
      <c r="E572" s="33"/>
      <c r="F572" s="33"/>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32"/>
      <c r="C573" s="33"/>
      <c r="D573" s="33"/>
      <c r="E573" s="33"/>
      <c r="F573" s="33"/>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32"/>
      <c r="C574" s="33"/>
      <c r="D574" s="33"/>
      <c r="E574" s="33"/>
      <c r="F574" s="33"/>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32"/>
      <c r="C575" s="33"/>
      <c r="D575" s="33"/>
      <c r="E575" s="33"/>
      <c r="F575" s="33"/>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32"/>
      <c r="C576" s="33"/>
      <c r="D576" s="33"/>
      <c r="E576" s="33"/>
      <c r="F576" s="33"/>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32"/>
      <c r="C577" s="33"/>
      <c r="D577" s="33"/>
      <c r="E577" s="33"/>
      <c r="F577" s="33"/>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32"/>
      <c r="C578" s="33"/>
      <c r="D578" s="33"/>
      <c r="E578" s="33"/>
      <c r="F578" s="33"/>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32"/>
      <c r="C579" s="33"/>
      <c r="D579" s="33"/>
      <c r="E579" s="33"/>
      <c r="F579" s="33"/>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32"/>
      <c r="C580" s="33"/>
      <c r="D580" s="33"/>
      <c r="E580" s="33"/>
      <c r="F580" s="33"/>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32"/>
      <c r="C581" s="33"/>
      <c r="D581" s="33"/>
      <c r="E581" s="33"/>
      <c r="F581" s="33"/>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32"/>
      <c r="C582" s="33"/>
      <c r="D582" s="33"/>
      <c r="E582" s="33"/>
      <c r="F582" s="33"/>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32"/>
      <c r="C583" s="33"/>
      <c r="D583" s="33"/>
      <c r="E583" s="33"/>
      <c r="F583" s="33"/>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32"/>
      <c r="C584" s="33"/>
      <c r="D584" s="33"/>
      <c r="E584" s="33"/>
      <c r="F584" s="33"/>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32"/>
      <c r="C585" s="33"/>
      <c r="D585" s="33"/>
      <c r="E585" s="33"/>
      <c r="F585" s="33"/>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32"/>
      <c r="C586" s="33"/>
      <c r="D586" s="33"/>
      <c r="E586" s="33"/>
      <c r="F586" s="33"/>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32"/>
      <c r="C587" s="33"/>
      <c r="D587" s="33"/>
      <c r="E587" s="33"/>
      <c r="F587" s="33"/>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32"/>
      <c r="C588" s="33"/>
      <c r="D588" s="33"/>
      <c r="E588" s="33"/>
      <c r="F588" s="33"/>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32"/>
      <c r="C589" s="33"/>
      <c r="D589" s="33"/>
      <c r="E589" s="33"/>
      <c r="F589" s="33"/>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32"/>
      <c r="C590" s="33"/>
      <c r="D590" s="33"/>
      <c r="E590" s="33"/>
      <c r="F590" s="33"/>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32"/>
      <c r="C591" s="33"/>
      <c r="D591" s="33"/>
      <c r="E591" s="33"/>
      <c r="F591" s="33"/>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32"/>
      <c r="C592" s="33"/>
      <c r="D592" s="33"/>
      <c r="E592" s="33"/>
      <c r="F592" s="33"/>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32"/>
      <c r="C593" s="33"/>
      <c r="D593" s="33"/>
      <c r="E593" s="33"/>
      <c r="F593" s="33"/>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32"/>
      <c r="C594" s="33"/>
      <c r="D594" s="33"/>
      <c r="E594" s="33"/>
      <c r="F594" s="33"/>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32"/>
      <c r="C595" s="33"/>
      <c r="D595" s="33"/>
      <c r="E595" s="33"/>
      <c r="F595" s="33"/>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32"/>
      <c r="C596" s="33"/>
      <c r="D596" s="33"/>
      <c r="E596" s="33"/>
      <c r="F596" s="33"/>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32"/>
      <c r="C597" s="33"/>
      <c r="D597" s="33"/>
      <c r="E597" s="33"/>
      <c r="F597" s="33"/>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32"/>
      <c r="C598" s="33"/>
      <c r="D598" s="33"/>
      <c r="E598" s="33"/>
      <c r="F598" s="33"/>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32"/>
      <c r="C599" s="33"/>
      <c r="D599" s="33"/>
      <c r="E599" s="33"/>
      <c r="F599" s="33"/>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32"/>
      <c r="C600" s="33"/>
      <c r="D600" s="33"/>
      <c r="E600" s="33"/>
      <c r="F600" s="33"/>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32"/>
      <c r="C601" s="33"/>
      <c r="D601" s="33"/>
      <c r="E601" s="33"/>
      <c r="F601" s="33"/>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32"/>
      <c r="C602" s="33"/>
      <c r="D602" s="33"/>
      <c r="E602" s="33"/>
      <c r="F602" s="33"/>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32"/>
      <c r="C603" s="33"/>
      <c r="D603" s="33"/>
      <c r="E603" s="33"/>
      <c r="F603" s="33"/>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32"/>
      <c r="C604" s="33"/>
      <c r="D604" s="33"/>
      <c r="E604" s="33"/>
      <c r="F604" s="33"/>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32"/>
      <c r="C605" s="33"/>
      <c r="D605" s="33"/>
      <c r="E605" s="33"/>
      <c r="F605" s="33"/>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32"/>
      <c r="C606" s="33"/>
      <c r="D606" s="33"/>
      <c r="E606" s="33"/>
      <c r="F606" s="33"/>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32"/>
      <c r="C607" s="33"/>
      <c r="D607" s="33"/>
      <c r="E607" s="33"/>
      <c r="F607" s="33"/>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32"/>
      <c r="C608" s="33"/>
      <c r="D608" s="33"/>
      <c r="E608" s="33"/>
      <c r="F608" s="33"/>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32"/>
      <c r="C609" s="33"/>
      <c r="D609" s="33"/>
      <c r="E609" s="33"/>
      <c r="F609" s="33"/>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32"/>
      <c r="C610" s="33"/>
      <c r="D610" s="33"/>
      <c r="E610" s="33"/>
      <c r="F610" s="33"/>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32"/>
      <c r="C611" s="33"/>
      <c r="D611" s="33"/>
      <c r="E611" s="33"/>
      <c r="F611" s="33"/>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32"/>
      <c r="C612" s="33"/>
      <c r="D612" s="33"/>
      <c r="E612" s="33"/>
      <c r="F612" s="33"/>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32"/>
      <c r="C613" s="33"/>
      <c r="D613" s="33"/>
      <c r="E613" s="33"/>
      <c r="F613" s="33"/>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32"/>
      <c r="C614" s="33"/>
      <c r="D614" s="33"/>
      <c r="E614" s="33"/>
      <c r="F614" s="33"/>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32"/>
      <c r="C615" s="33"/>
      <c r="D615" s="33"/>
      <c r="E615" s="33"/>
      <c r="F615" s="33"/>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32"/>
      <c r="C616" s="33"/>
      <c r="D616" s="33"/>
      <c r="E616" s="33"/>
      <c r="F616" s="33"/>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32"/>
      <c r="C617" s="33"/>
      <c r="D617" s="33"/>
      <c r="E617" s="33"/>
      <c r="F617" s="33"/>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32"/>
      <c r="C618" s="33"/>
      <c r="D618" s="33"/>
      <c r="E618" s="33"/>
      <c r="F618" s="33"/>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32"/>
      <c r="C619" s="33"/>
      <c r="D619" s="33"/>
      <c r="E619" s="33"/>
      <c r="F619" s="33"/>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32"/>
      <c r="C620" s="33"/>
      <c r="D620" s="33"/>
      <c r="E620" s="33"/>
      <c r="F620" s="33"/>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32"/>
      <c r="C621" s="33"/>
      <c r="D621" s="33"/>
      <c r="E621" s="33"/>
      <c r="F621" s="33"/>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32"/>
      <c r="C622" s="33"/>
      <c r="D622" s="33"/>
      <c r="E622" s="33"/>
      <c r="F622" s="33"/>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32"/>
      <c r="C623" s="33"/>
      <c r="D623" s="33"/>
      <c r="E623" s="33"/>
      <c r="F623" s="33"/>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32"/>
      <c r="C624" s="33"/>
      <c r="D624" s="33"/>
      <c r="E624" s="33"/>
      <c r="F624" s="33"/>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32"/>
      <c r="C625" s="33"/>
      <c r="D625" s="33"/>
      <c r="E625" s="33"/>
      <c r="F625" s="33"/>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32"/>
      <c r="C626" s="33"/>
      <c r="D626" s="33"/>
      <c r="E626" s="33"/>
      <c r="F626" s="33"/>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32"/>
      <c r="C627" s="33"/>
      <c r="D627" s="33"/>
      <c r="E627" s="33"/>
      <c r="F627" s="33"/>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32"/>
      <c r="C628" s="33"/>
      <c r="D628" s="33"/>
      <c r="E628" s="33"/>
      <c r="F628" s="33"/>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32"/>
      <c r="C629" s="33"/>
      <c r="D629" s="33"/>
      <c r="E629" s="33"/>
      <c r="F629" s="33"/>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32"/>
      <c r="C630" s="33"/>
      <c r="D630" s="33"/>
      <c r="E630" s="33"/>
      <c r="F630" s="33"/>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32"/>
      <c r="C631" s="33"/>
      <c r="D631" s="33"/>
      <c r="E631" s="33"/>
      <c r="F631" s="33"/>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32"/>
      <c r="C632" s="33"/>
      <c r="D632" s="33"/>
      <c r="E632" s="33"/>
      <c r="F632" s="33"/>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32"/>
      <c r="C633" s="33"/>
      <c r="D633" s="33"/>
      <c r="E633" s="33"/>
      <c r="F633" s="33"/>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32"/>
      <c r="C634" s="33"/>
      <c r="D634" s="33"/>
      <c r="E634" s="33"/>
      <c r="F634" s="33"/>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32"/>
      <c r="C635" s="33"/>
      <c r="D635" s="33"/>
      <c r="E635" s="33"/>
      <c r="F635" s="33"/>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32"/>
      <c r="C636" s="33"/>
      <c r="D636" s="33"/>
      <c r="E636" s="33"/>
      <c r="F636" s="33"/>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32"/>
      <c r="C637" s="33"/>
      <c r="D637" s="33"/>
      <c r="E637" s="33"/>
      <c r="F637" s="33"/>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32"/>
      <c r="C638" s="33"/>
      <c r="D638" s="33"/>
      <c r="E638" s="33"/>
      <c r="F638" s="33"/>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32"/>
      <c r="C639" s="33"/>
      <c r="D639" s="33"/>
      <c r="E639" s="33"/>
      <c r="F639" s="33"/>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32"/>
      <c r="C640" s="33"/>
      <c r="D640" s="33"/>
      <c r="E640" s="33"/>
      <c r="F640" s="33"/>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32"/>
      <c r="C641" s="33"/>
      <c r="D641" s="33"/>
      <c r="E641" s="33"/>
      <c r="F641" s="33"/>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32"/>
      <c r="C642" s="33"/>
      <c r="D642" s="33"/>
      <c r="E642" s="33"/>
      <c r="F642" s="33"/>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32"/>
      <c r="C643" s="33"/>
      <c r="D643" s="33"/>
      <c r="E643" s="33"/>
      <c r="F643" s="33"/>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32"/>
      <c r="C644" s="33"/>
      <c r="D644" s="33"/>
      <c r="E644" s="33"/>
      <c r="F644" s="33"/>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32"/>
      <c r="C645" s="33"/>
      <c r="D645" s="33"/>
      <c r="E645" s="33"/>
      <c r="F645" s="33"/>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32"/>
      <c r="C646" s="33"/>
      <c r="D646" s="33"/>
      <c r="E646" s="33"/>
      <c r="F646" s="33"/>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32"/>
      <c r="C647" s="33"/>
      <c r="D647" s="33"/>
      <c r="E647" s="33"/>
      <c r="F647" s="33"/>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32"/>
      <c r="C648" s="33"/>
      <c r="D648" s="33"/>
      <c r="E648" s="33"/>
      <c r="F648" s="33"/>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32"/>
      <c r="C649" s="33"/>
      <c r="D649" s="33"/>
      <c r="E649" s="33"/>
      <c r="F649" s="33"/>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32"/>
      <c r="C650" s="33"/>
      <c r="D650" s="33"/>
      <c r="E650" s="33"/>
      <c r="F650" s="33"/>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32"/>
      <c r="C651" s="33"/>
      <c r="D651" s="33"/>
      <c r="E651" s="33"/>
      <c r="F651" s="33"/>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32"/>
      <c r="C652" s="33"/>
      <c r="D652" s="33"/>
      <c r="E652" s="33"/>
      <c r="F652" s="33"/>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32"/>
      <c r="C653" s="33"/>
      <c r="D653" s="33"/>
      <c r="E653" s="33"/>
      <c r="F653" s="33"/>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32"/>
      <c r="C654" s="33"/>
      <c r="D654" s="33"/>
      <c r="E654" s="33"/>
      <c r="F654" s="33"/>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32"/>
      <c r="C655" s="33"/>
      <c r="D655" s="33"/>
      <c r="E655" s="33"/>
      <c r="F655" s="33"/>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32"/>
      <c r="C656" s="33"/>
      <c r="D656" s="33"/>
      <c r="E656" s="33"/>
      <c r="F656" s="33"/>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32"/>
      <c r="C657" s="33"/>
      <c r="D657" s="33"/>
      <c r="E657" s="33"/>
      <c r="F657" s="33"/>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32"/>
      <c r="C658" s="33"/>
      <c r="D658" s="33"/>
      <c r="E658" s="33"/>
      <c r="F658" s="33"/>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32"/>
      <c r="C659" s="33"/>
      <c r="D659" s="33"/>
      <c r="E659" s="33"/>
      <c r="F659" s="33"/>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32"/>
      <c r="C660" s="33"/>
      <c r="D660" s="33"/>
      <c r="E660" s="33"/>
      <c r="F660" s="33"/>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32"/>
      <c r="C661" s="33"/>
      <c r="D661" s="33"/>
      <c r="E661" s="33"/>
      <c r="F661" s="33"/>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32"/>
      <c r="C662" s="33"/>
      <c r="D662" s="33"/>
      <c r="E662" s="33"/>
      <c r="F662" s="33"/>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32"/>
      <c r="C663" s="33"/>
      <c r="D663" s="33"/>
      <c r="E663" s="33"/>
      <c r="F663" s="33"/>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32"/>
      <c r="C664" s="33"/>
      <c r="D664" s="33"/>
      <c r="E664" s="33"/>
      <c r="F664" s="33"/>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32"/>
      <c r="C665" s="33"/>
      <c r="D665" s="33"/>
      <c r="E665" s="33"/>
      <c r="F665" s="33"/>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32"/>
      <c r="C666" s="33"/>
      <c r="D666" s="33"/>
      <c r="E666" s="33"/>
      <c r="F666" s="33"/>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32"/>
      <c r="C667" s="33"/>
      <c r="D667" s="33"/>
      <c r="E667" s="33"/>
      <c r="F667" s="33"/>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32"/>
      <c r="C668" s="33"/>
      <c r="D668" s="33"/>
      <c r="E668" s="33"/>
      <c r="F668" s="33"/>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32"/>
      <c r="C669" s="33"/>
      <c r="D669" s="33"/>
      <c r="E669" s="33"/>
      <c r="F669" s="33"/>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32"/>
      <c r="C670" s="33"/>
      <c r="D670" s="33"/>
      <c r="E670" s="33"/>
      <c r="F670" s="33"/>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32"/>
      <c r="C671" s="33"/>
      <c r="D671" s="33"/>
      <c r="E671" s="33"/>
      <c r="F671" s="33"/>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32"/>
      <c r="C672" s="33"/>
      <c r="D672" s="33"/>
      <c r="E672" s="33"/>
      <c r="F672" s="33"/>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32"/>
      <c r="C673" s="33"/>
      <c r="D673" s="33"/>
      <c r="E673" s="33"/>
      <c r="F673" s="33"/>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32"/>
      <c r="C674" s="33"/>
      <c r="D674" s="33"/>
      <c r="E674" s="33"/>
      <c r="F674" s="33"/>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32"/>
      <c r="C675" s="33"/>
      <c r="D675" s="33"/>
      <c r="E675" s="33"/>
      <c r="F675" s="33"/>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32"/>
      <c r="C676" s="33"/>
      <c r="D676" s="33"/>
      <c r="E676" s="33"/>
      <c r="F676" s="33"/>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32"/>
      <c r="C677" s="33"/>
      <c r="D677" s="33"/>
      <c r="E677" s="33"/>
      <c r="F677" s="33"/>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32"/>
      <c r="C678" s="33"/>
      <c r="D678" s="33"/>
      <c r="E678" s="33"/>
      <c r="F678" s="33"/>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32"/>
      <c r="C679" s="33"/>
      <c r="D679" s="33"/>
      <c r="E679" s="33"/>
      <c r="F679" s="33"/>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32"/>
      <c r="C680" s="33"/>
      <c r="D680" s="33"/>
      <c r="E680" s="33"/>
      <c r="F680" s="33"/>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32"/>
      <c r="C681" s="33"/>
      <c r="D681" s="33"/>
      <c r="E681" s="33"/>
      <c r="F681" s="33"/>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32"/>
      <c r="C682" s="33"/>
      <c r="D682" s="33"/>
      <c r="E682" s="33"/>
      <c r="F682" s="33"/>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32"/>
      <c r="C683" s="33"/>
      <c r="D683" s="33"/>
      <c r="E683" s="33"/>
      <c r="F683" s="33"/>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32"/>
      <c r="C684" s="33"/>
      <c r="D684" s="33"/>
      <c r="E684" s="33"/>
      <c r="F684" s="33"/>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32"/>
      <c r="C685" s="33"/>
      <c r="D685" s="33"/>
      <c r="E685" s="33"/>
      <c r="F685" s="33"/>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32"/>
      <c r="C686" s="33"/>
      <c r="D686" s="33"/>
      <c r="E686" s="33"/>
      <c r="F686" s="33"/>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32"/>
      <c r="C687" s="33"/>
      <c r="D687" s="33"/>
      <c r="E687" s="33"/>
      <c r="F687" s="33"/>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32"/>
      <c r="C688" s="33"/>
      <c r="D688" s="33"/>
      <c r="E688" s="33"/>
      <c r="F688" s="33"/>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32"/>
      <c r="C689" s="33"/>
      <c r="D689" s="33"/>
      <c r="E689" s="33"/>
      <c r="F689" s="33"/>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32"/>
      <c r="C690" s="33"/>
      <c r="D690" s="33"/>
      <c r="E690" s="33"/>
      <c r="F690" s="33"/>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32"/>
      <c r="C691" s="33"/>
      <c r="D691" s="33"/>
      <c r="E691" s="33"/>
      <c r="F691" s="33"/>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32"/>
      <c r="C692" s="33"/>
      <c r="D692" s="33"/>
      <c r="E692" s="33"/>
      <c r="F692" s="33"/>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32"/>
      <c r="C693" s="33"/>
      <c r="D693" s="33"/>
      <c r="E693" s="33"/>
      <c r="F693" s="33"/>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32"/>
      <c r="C694" s="33"/>
      <c r="D694" s="33"/>
      <c r="E694" s="33"/>
      <c r="F694" s="33"/>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32"/>
      <c r="C695" s="33"/>
      <c r="D695" s="33"/>
      <c r="E695" s="33"/>
      <c r="F695" s="33"/>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32"/>
      <c r="C696" s="33"/>
      <c r="D696" s="33"/>
      <c r="E696" s="33"/>
      <c r="F696" s="33"/>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32"/>
      <c r="C697" s="33"/>
      <c r="D697" s="33"/>
      <c r="E697" s="33"/>
      <c r="F697" s="33"/>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32"/>
      <c r="C698" s="33"/>
      <c r="D698" s="33"/>
      <c r="E698" s="33"/>
      <c r="F698" s="33"/>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32"/>
      <c r="C699" s="33"/>
      <c r="D699" s="33"/>
      <c r="E699" s="33"/>
      <c r="F699" s="33"/>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32"/>
      <c r="C700" s="33"/>
      <c r="D700" s="33"/>
      <c r="E700" s="33"/>
      <c r="F700" s="33"/>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32"/>
      <c r="C701" s="33"/>
      <c r="D701" s="33"/>
      <c r="E701" s="33"/>
      <c r="F701" s="33"/>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32"/>
      <c r="C702" s="33"/>
      <c r="D702" s="33"/>
      <c r="E702" s="33"/>
      <c r="F702" s="33"/>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32"/>
      <c r="C703" s="33"/>
      <c r="D703" s="33"/>
      <c r="E703" s="33"/>
      <c r="F703" s="33"/>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32"/>
      <c r="C704" s="33"/>
      <c r="D704" s="33"/>
      <c r="E704" s="33"/>
      <c r="F704" s="33"/>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32"/>
      <c r="C705" s="33"/>
      <c r="D705" s="33"/>
      <c r="E705" s="33"/>
      <c r="F705" s="33"/>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32"/>
      <c r="C706" s="33"/>
      <c r="D706" s="33"/>
      <c r="E706" s="33"/>
      <c r="F706" s="33"/>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32"/>
      <c r="C707" s="33"/>
      <c r="D707" s="33"/>
      <c r="E707" s="33"/>
      <c r="F707" s="33"/>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32"/>
      <c r="C708" s="33"/>
      <c r="D708" s="33"/>
      <c r="E708" s="33"/>
      <c r="F708" s="33"/>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32"/>
      <c r="C709" s="33"/>
      <c r="D709" s="33"/>
      <c r="E709" s="33"/>
      <c r="F709" s="33"/>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32"/>
      <c r="C710" s="33"/>
      <c r="D710" s="33"/>
      <c r="E710" s="33"/>
      <c r="F710" s="33"/>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32"/>
      <c r="C711" s="33"/>
      <c r="D711" s="33"/>
      <c r="E711" s="33"/>
      <c r="F711" s="33"/>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32"/>
      <c r="C712" s="33"/>
      <c r="D712" s="33"/>
      <c r="E712" s="33"/>
      <c r="F712" s="33"/>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32"/>
      <c r="C713" s="33"/>
      <c r="D713" s="33"/>
      <c r="E713" s="33"/>
      <c r="F713" s="33"/>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32"/>
      <c r="C714" s="33"/>
      <c r="D714" s="33"/>
      <c r="E714" s="33"/>
      <c r="F714" s="33"/>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32"/>
      <c r="C715" s="33"/>
      <c r="D715" s="33"/>
      <c r="E715" s="33"/>
      <c r="F715" s="33"/>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32"/>
      <c r="C716" s="33"/>
      <c r="D716" s="33"/>
      <c r="E716" s="33"/>
      <c r="F716" s="33"/>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32"/>
      <c r="C717" s="33"/>
      <c r="D717" s="33"/>
      <c r="E717" s="33"/>
      <c r="F717" s="33"/>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32"/>
      <c r="C718" s="33"/>
      <c r="D718" s="33"/>
      <c r="E718" s="33"/>
      <c r="F718" s="33"/>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32"/>
      <c r="C719" s="33"/>
      <c r="D719" s="33"/>
      <c r="E719" s="33"/>
      <c r="F719" s="33"/>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32"/>
      <c r="C720" s="33"/>
      <c r="D720" s="33"/>
      <c r="E720" s="33"/>
      <c r="F720" s="33"/>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32"/>
      <c r="C721" s="33"/>
      <c r="D721" s="33"/>
      <c r="E721" s="33"/>
      <c r="F721" s="33"/>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32"/>
      <c r="C722" s="33"/>
      <c r="D722" s="33"/>
      <c r="E722" s="33"/>
      <c r="F722" s="33"/>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32"/>
      <c r="C723" s="33"/>
      <c r="D723" s="33"/>
      <c r="E723" s="33"/>
      <c r="F723" s="33"/>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32"/>
      <c r="C724" s="33"/>
      <c r="D724" s="33"/>
      <c r="E724" s="33"/>
      <c r="F724" s="33"/>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32"/>
      <c r="C725" s="33"/>
      <c r="D725" s="33"/>
      <c r="E725" s="33"/>
      <c r="F725" s="33"/>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32"/>
      <c r="C726" s="33"/>
      <c r="D726" s="33"/>
      <c r="E726" s="33"/>
      <c r="F726" s="33"/>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32"/>
      <c r="C727" s="33"/>
      <c r="D727" s="33"/>
      <c r="E727" s="33"/>
      <c r="F727" s="33"/>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32"/>
      <c r="C728" s="33"/>
      <c r="D728" s="33"/>
      <c r="E728" s="33"/>
      <c r="F728" s="33"/>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32"/>
      <c r="C729" s="33"/>
      <c r="D729" s="33"/>
      <c r="E729" s="33"/>
      <c r="F729" s="33"/>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32"/>
      <c r="C730" s="33"/>
      <c r="D730" s="33"/>
      <c r="E730" s="33"/>
      <c r="F730" s="33"/>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32"/>
      <c r="C731" s="33"/>
      <c r="D731" s="33"/>
      <c r="E731" s="33"/>
      <c r="F731" s="33"/>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32"/>
      <c r="C732" s="33"/>
      <c r="D732" s="33"/>
      <c r="E732" s="33"/>
      <c r="F732" s="33"/>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32"/>
      <c r="C733" s="33"/>
      <c r="D733" s="33"/>
      <c r="E733" s="33"/>
      <c r="F733" s="33"/>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32"/>
      <c r="C734" s="33"/>
      <c r="D734" s="33"/>
      <c r="E734" s="33"/>
      <c r="F734" s="33"/>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32"/>
      <c r="C735" s="33"/>
      <c r="D735" s="33"/>
      <c r="E735" s="33"/>
      <c r="F735" s="33"/>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32"/>
      <c r="C736" s="33"/>
      <c r="D736" s="33"/>
      <c r="E736" s="33"/>
      <c r="F736" s="33"/>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32"/>
      <c r="C737" s="33"/>
      <c r="D737" s="33"/>
      <c r="E737" s="33"/>
      <c r="F737" s="33"/>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32"/>
      <c r="C738" s="33"/>
      <c r="D738" s="33"/>
      <c r="E738" s="33"/>
      <c r="F738" s="33"/>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32"/>
      <c r="C739" s="33"/>
      <c r="D739" s="33"/>
      <c r="E739" s="33"/>
      <c r="F739" s="33"/>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32"/>
      <c r="C740" s="33"/>
      <c r="D740" s="33"/>
      <c r="E740" s="33"/>
      <c r="F740" s="33"/>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32"/>
      <c r="C741" s="33"/>
      <c r="D741" s="33"/>
      <c r="E741" s="33"/>
      <c r="F741" s="33"/>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32"/>
      <c r="C742" s="33"/>
      <c r="D742" s="33"/>
      <c r="E742" s="33"/>
      <c r="F742" s="33"/>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32"/>
      <c r="C743" s="33"/>
      <c r="D743" s="33"/>
      <c r="E743" s="33"/>
      <c r="F743" s="33"/>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32"/>
      <c r="C744" s="33"/>
      <c r="D744" s="33"/>
      <c r="E744" s="33"/>
      <c r="F744" s="33"/>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32"/>
      <c r="C745" s="33"/>
      <c r="D745" s="33"/>
      <c r="E745" s="33"/>
      <c r="F745" s="33"/>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32"/>
      <c r="C746" s="33"/>
      <c r="D746" s="33"/>
      <c r="E746" s="33"/>
      <c r="F746" s="33"/>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32"/>
      <c r="C747" s="33"/>
      <c r="D747" s="33"/>
      <c r="E747" s="33"/>
      <c r="F747" s="33"/>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32"/>
      <c r="C748" s="33"/>
      <c r="D748" s="33"/>
      <c r="E748" s="33"/>
      <c r="F748" s="33"/>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32"/>
      <c r="C749" s="33"/>
      <c r="D749" s="33"/>
      <c r="E749" s="33"/>
      <c r="F749" s="33"/>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32"/>
      <c r="C750" s="33"/>
      <c r="D750" s="33"/>
      <c r="E750" s="33"/>
      <c r="F750" s="33"/>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32"/>
      <c r="C751" s="33"/>
      <c r="D751" s="33"/>
      <c r="E751" s="33"/>
      <c r="F751" s="33"/>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32"/>
      <c r="C752" s="33"/>
      <c r="D752" s="33"/>
      <c r="E752" s="33"/>
      <c r="F752" s="33"/>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32"/>
      <c r="C753" s="33"/>
      <c r="D753" s="33"/>
      <c r="E753" s="33"/>
      <c r="F753" s="33"/>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32"/>
      <c r="C754" s="33"/>
      <c r="D754" s="33"/>
      <c r="E754" s="33"/>
      <c r="F754" s="33"/>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32"/>
      <c r="C755" s="33"/>
      <c r="D755" s="33"/>
      <c r="E755" s="33"/>
      <c r="F755" s="33"/>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32"/>
      <c r="C756" s="33"/>
      <c r="D756" s="33"/>
      <c r="E756" s="33"/>
      <c r="F756" s="33"/>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32"/>
      <c r="C757" s="33"/>
      <c r="D757" s="33"/>
      <c r="E757" s="33"/>
      <c r="F757" s="33"/>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32"/>
      <c r="C758" s="33"/>
      <c r="D758" s="33"/>
      <c r="E758" s="33"/>
      <c r="F758" s="33"/>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32"/>
      <c r="C759" s="33"/>
      <c r="D759" s="33"/>
      <c r="E759" s="33"/>
      <c r="F759" s="33"/>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32"/>
      <c r="C760" s="33"/>
      <c r="D760" s="33"/>
      <c r="E760" s="33"/>
      <c r="F760" s="33"/>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32"/>
      <c r="C761" s="33"/>
      <c r="D761" s="33"/>
      <c r="E761" s="33"/>
      <c r="F761" s="33"/>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32"/>
      <c r="C762" s="33"/>
      <c r="D762" s="33"/>
      <c r="E762" s="33"/>
      <c r="F762" s="33"/>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32"/>
      <c r="C763" s="33"/>
      <c r="D763" s="33"/>
      <c r="E763" s="33"/>
      <c r="F763" s="33"/>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32"/>
      <c r="C764" s="33"/>
      <c r="D764" s="33"/>
      <c r="E764" s="33"/>
      <c r="F764" s="33"/>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32"/>
      <c r="C765" s="33"/>
      <c r="D765" s="33"/>
      <c r="E765" s="33"/>
      <c r="F765" s="33"/>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32"/>
      <c r="C766" s="33"/>
      <c r="D766" s="33"/>
      <c r="E766" s="33"/>
      <c r="F766" s="33"/>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32"/>
      <c r="C767" s="33"/>
      <c r="D767" s="33"/>
      <c r="E767" s="33"/>
      <c r="F767" s="33"/>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32"/>
      <c r="C768" s="33"/>
      <c r="D768" s="33"/>
      <c r="E768" s="33"/>
      <c r="F768" s="33"/>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32"/>
      <c r="C769" s="33"/>
      <c r="D769" s="33"/>
      <c r="E769" s="33"/>
      <c r="F769" s="33"/>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32"/>
      <c r="C770" s="33"/>
      <c r="D770" s="33"/>
      <c r="E770" s="33"/>
      <c r="F770" s="33"/>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32"/>
      <c r="C771" s="33"/>
      <c r="D771" s="33"/>
      <c r="E771" s="33"/>
      <c r="F771" s="33"/>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32"/>
      <c r="C772" s="33"/>
      <c r="D772" s="33"/>
      <c r="E772" s="33"/>
      <c r="F772" s="33"/>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32"/>
      <c r="C773" s="33"/>
      <c r="D773" s="33"/>
      <c r="E773" s="33"/>
      <c r="F773" s="33"/>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32"/>
      <c r="C774" s="33"/>
      <c r="D774" s="33"/>
      <c r="E774" s="33"/>
      <c r="F774" s="33"/>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32"/>
      <c r="C775" s="33"/>
      <c r="D775" s="33"/>
      <c r="E775" s="33"/>
      <c r="F775" s="33"/>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32"/>
      <c r="C776" s="33"/>
      <c r="D776" s="33"/>
      <c r="E776" s="33"/>
      <c r="F776" s="33"/>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32"/>
      <c r="C777" s="33"/>
      <c r="D777" s="33"/>
      <c r="E777" s="33"/>
      <c r="F777" s="33"/>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32"/>
      <c r="C778" s="33"/>
      <c r="D778" s="33"/>
      <c r="E778" s="33"/>
      <c r="F778" s="33"/>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32"/>
      <c r="C779" s="33"/>
      <c r="D779" s="33"/>
      <c r="E779" s="33"/>
      <c r="F779" s="33"/>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32"/>
      <c r="C780" s="33"/>
      <c r="D780" s="33"/>
      <c r="E780" s="33"/>
      <c r="F780" s="33"/>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32"/>
      <c r="C781" s="33"/>
      <c r="D781" s="33"/>
      <c r="E781" s="33"/>
      <c r="F781" s="33"/>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32"/>
      <c r="C782" s="33"/>
      <c r="D782" s="33"/>
      <c r="E782" s="33"/>
      <c r="F782" s="33"/>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32"/>
      <c r="C783" s="33"/>
      <c r="D783" s="33"/>
      <c r="E783" s="33"/>
      <c r="F783" s="33"/>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32"/>
      <c r="C784" s="33"/>
      <c r="D784" s="33"/>
      <c r="E784" s="33"/>
      <c r="F784" s="33"/>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32"/>
      <c r="C785" s="33"/>
      <c r="D785" s="33"/>
      <c r="E785" s="33"/>
      <c r="F785" s="33"/>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32"/>
      <c r="C786" s="33"/>
      <c r="D786" s="33"/>
      <c r="E786" s="33"/>
      <c r="F786" s="33"/>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32"/>
      <c r="C787" s="33"/>
      <c r="D787" s="33"/>
      <c r="E787" s="33"/>
      <c r="F787" s="33"/>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32"/>
      <c r="C788" s="33"/>
      <c r="D788" s="33"/>
      <c r="E788" s="33"/>
      <c r="F788" s="33"/>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32"/>
      <c r="C789" s="33"/>
      <c r="D789" s="33"/>
      <c r="E789" s="33"/>
      <c r="F789" s="33"/>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32"/>
      <c r="C790" s="33"/>
      <c r="D790" s="33"/>
      <c r="E790" s="33"/>
      <c r="F790" s="33"/>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32"/>
      <c r="C791" s="33"/>
      <c r="D791" s="33"/>
      <c r="E791" s="33"/>
      <c r="F791" s="33"/>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32"/>
      <c r="C792" s="33"/>
      <c r="D792" s="33"/>
      <c r="E792" s="33"/>
      <c r="F792" s="33"/>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32"/>
      <c r="C793" s="33"/>
      <c r="D793" s="33"/>
      <c r="E793" s="33"/>
      <c r="F793" s="33"/>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32"/>
      <c r="C794" s="33"/>
      <c r="D794" s="33"/>
      <c r="E794" s="33"/>
      <c r="F794" s="33"/>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32"/>
      <c r="C795" s="33"/>
      <c r="D795" s="33"/>
      <c r="E795" s="33"/>
      <c r="F795" s="33"/>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32"/>
      <c r="C796" s="33"/>
      <c r="D796" s="33"/>
      <c r="E796" s="33"/>
      <c r="F796" s="33"/>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32"/>
      <c r="C797" s="33"/>
      <c r="D797" s="33"/>
      <c r="E797" s="33"/>
      <c r="F797" s="33"/>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32"/>
      <c r="C798" s="33"/>
      <c r="D798" s="33"/>
      <c r="E798" s="33"/>
      <c r="F798" s="33"/>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32"/>
      <c r="C799" s="33"/>
      <c r="D799" s="33"/>
      <c r="E799" s="33"/>
      <c r="F799" s="33"/>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32"/>
      <c r="C800" s="33"/>
      <c r="D800" s="33"/>
      <c r="E800" s="33"/>
      <c r="F800" s="33"/>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32"/>
      <c r="C801" s="33"/>
      <c r="D801" s="33"/>
      <c r="E801" s="33"/>
      <c r="F801" s="33"/>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32"/>
      <c r="C802" s="33"/>
      <c r="D802" s="33"/>
      <c r="E802" s="33"/>
      <c r="F802" s="33"/>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32"/>
      <c r="C803" s="33"/>
      <c r="D803" s="33"/>
      <c r="E803" s="33"/>
      <c r="F803" s="33"/>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32"/>
      <c r="C804" s="33"/>
      <c r="D804" s="33"/>
      <c r="E804" s="33"/>
      <c r="F804" s="33"/>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32"/>
      <c r="C805" s="33"/>
      <c r="D805" s="33"/>
      <c r="E805" s="33"/>
      <c r="F805" s="33"/>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32"/>
      <c r="C806" s="33"/>
      <c r="D806" s="33"/>
      <c r="E806" s="33"/>
      <c r="F806" s="33"/>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32"/>
      <c r="C807" s="33"/>
      <c r="D807" s="33"/>
      <c r="E807" s="33"/>
      <c r="F807" s="33"/>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32"/>
      <c r="C808" s="33"/>
      <c r="D808" s="33"/>
      <c r="E808" s="33"/>
      <c r="F808" s="33"/>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32"/>
      <c r="C809" s="33"/>
      <c r="D809" s="33"/>
      <c r="E809" s="33"/>
      <c r="F809" s="33"/>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32"/>
      <c r="C810" s="33"/>
      <c r="D810" s="33"/>
      <c r="E810" s="33"/>
      <c r="F810" s="33"/>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32"/>
      <c r="C811" s="33"/>
      <c r="D811" s="33"/>
      <c r="E811" s="33"/>
      <c r="F811" s="33"/>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32"/>
      <c r="C812" s="33"/>
      <c r="D812" s="33"/>
      <c r="E812" s="33"/>
      <c r="F812" s="33"/>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32"/>
      <c r="C813" s="33"/>
      <c r="D813" s="33"/>
      <c r="E813" s="33"/>
      <c r="F813" s="33"/>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32"/>
      <c r="C814" s="33"/>
      <c r="D814" s="33"/>
      <c r="E814" s="33"/>
      <c r="F814" s="33"/>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32"/>
      <c r="C815" s="33"/>
      <c r="D815" s="33"/>
      <c r="E815" s="33"/>
      <c r="F815" s="33"/>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32"/>
      <c r="C816" s="33"/>
      <c r="D816" s="33"/>
      <c r="E816" s="33"/>
      <c r="F816" s="33"/>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32"/>
      <c r="C817" s="33"/>
      <c r="D817" s="33"/>
      <c r="E817" s="33"/>
      <c r="F817" s="33"/>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32"/>
      <c r="C818" s="33"/>
      <c r="D818" s="33"/>
      <c r="E818" s="33"/>
      <c r="F818" s="33"/>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32"/>
      <c r="C819" s="33"/>
      <c r="D819" s="33"/>
      <c r="E819" s="33"/>
      <c r="F819" s="33"/>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32"/>
      <c r="C820" s="33"/>
      <c r="D820" s="33"/>
      <c r="E820" s="33"/>
      <c r="F820" s="33"/>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32"/>
      <c r="C821" s="33"/>
      <c r="D821" s="33"/>
      <c r="E821" s="33"/>
      <c r="F821" s="33"/>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32"/>
      <c r="C822" s="33"/>
      <c r="D822" s="33"/>
      <c r="E822" s="33"/>
      <c r="F822" s="33"/>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32"/>
      <c r="C823" s="33"/>
      <c r="D823" s="33"/>
      <c r="E823" s="33"/>
      <c r="F823" s="33"/>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32"/>
      <c r="C824" s="33"/>
      <c r="D824" s="33"/>
      <c r="E824" s="33"/>
      <c r="F824" s="33"/>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32"/>
      <c r="C825" s="33"/>
      <c r="D825" s="33"/>
      <c r="E825" s="33"/>
      <c r="F825" s="33"/>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32"/>
      <c r="C826" s="33"/>
      <c r="D826" s="33"/>
      <c r="E826" s="33"/>
      <c r="F826" s="33"/>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32"/>
      <c r="C827" s="33"/>
      <c r="D827" s="33"/>
      <c r="E827" s="33"/>
      <c r="F827" s="33"/>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32"/>
      <c r="C828" s="33"/>
      <c r="D828" s="33"/>
      <c r="E828" s="33"/>
      <c r="F828" s="33"/>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32"/>
      <c r="C829" s="33"/>
      <c r="D829" s="33"/>
      <c r="E829" s="33"/>
      <c r="F829" s="33"/>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32"/>
      <c r="C830" s="33"/>
      <c r="D830" s="33"/>
      <c r="E830" s="33"/>
      <c r="F830" s="33"/>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32"/>
      <c r="C831" s="33"/>
      <c r="D831" s="33"/>
      <c r="E831" s="33"/>
      <c r="F831" s="33"/>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32"/>
      <c r="C832" s="33"/>
      <c r="D832" s="33"/>
      <c r="E832" s="33"/>
      <c r="F832" s="33"/>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32"/>
      <c r="C833" s="33"/>
      <c r="D833" s="33"/>
      <c r="E833" s="33"/>
      <c r="F833" s="33"/>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32"/>
      <c r="C834" s="33"/>
      <c r="D834" s="33"/>
      <c r="E834" s="33"/>
      <c r="F834" s="33"/>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32"/>
      <c r="C835" s="33"/>
      <c r="D835" s="33"/>
      <c r="E835" s="33"/>
      <c r="F835" s="33"/>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32"/>
      <c r="C836" s="33"/>
      <c r="D836" s="33"/>
      <c r="E836" s="33"/>
      <c r="F836" s="33"/>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32"/>
      <c r="C837" s="33"/>
      <c r="D837" s="33"/>
      <c r="E837" s="33"/>
      <c r="F837" s="33"/>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32"/>
      <c r="C838" s="33"/>
      <c r="D838" s="33"/>
      <c r="E838" s="33"/>
      <c r="F838" s="33"/>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32"/>
      <c r="C839" s="33"/>
      <c r="D839" s="33"/>
      <c r="E839" s="33"/>
      <c r="F839" s="33"/>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32"/>
      <c r="C840" s="33"/>
      <c r="D840" s="33"/>
      <c r="E840" s="33"/>
      <c r="F840" s="33"/>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32"/>
      <c r="C841" s="33"/>
      <c r="D841" s="33"/>
      <c r="E841" s="33"/>
      <c r="F841" s="33"/>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32"/>
      <c r="C842" s="33"/>
      <c r="D842" s="33"/>
      <c r="E842" s="33"/>
      <c r="F842" s="33"/>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32"/>
      <c r="C843" s="33"/>
      <c r="D843" s="33"/>
      <c r="E843" s="33"/>
      <c r="F843" s="33"/>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32"/>
      <c r="C844" s="33"/>
      <c r="D844" s="33"/>
      <c r="E844" s="33"/>
      <c r="F844" s="33"/>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32"/>
      <c r="C845" s="33"/>
      <c r="D845" s="33"/>
      <c r="E845" s="33"/>
      <c r="F845" s="33"/>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32"/>
      <c r="C846" s="33"/>
      <c r="D846" s="33"/>
      <c r="E846" s="33"/>
      <c r="F846" s="33"/>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32"/>
      <c r="C847" s="33"/>
      <c r="D847" s="33"/>
      <c r="E847" s="33"/>
      <c r="F847" s="33"/>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32"/>
      <c r="C848" s="33"/>
      <c r="D848" s="33"/>
      <c r="E848" s="33"/>
      <c r="F848" s="33"/>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32"/>
      <c r="C849" s="33"/>
      <c r="D849" s="33"/>
      <c r="E849" s="33"/>
      <c r="F849" s="33"/>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32"/>
      <c r="C850" s="33"/>
      <c r="D850" s="33"/>
      <c r="E850" s="33"/>
      <c r="F850" s="33"/>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32"/>
      <c r="C851" s="33"/>
      <c r="D851" s="33"/>
      <c r="E851" s="33"/>
      <c r="F851" s="33"/>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32"/>
      <c r="C852" s="33"/>
      <c r="D852" s="33"/>
      <c r="E852" s="33"/>
      <c r="F852" s="33"/>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32"/>
      <c r="C853" s="33"/>
      <c r="D853" s="33"/>
      <c r="E853" s="33"/>
      <c r="F853" s="33"/>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32"/>
      <c r="C854" s="33"/>
      <c r="D854" s="33"/>
      <c r="E854" s="33"/>
      <c r="F854" s="33"/>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32"/>
      <c r="C855" s="33"/>
      <c r="D855" s="33"/>
      <c r="E855" s="33"/>
      <c r="F855" s="33"/>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32"/>
      <c r="C856" s="33"/>
      <c r="D856" s="33"/>
      <c r="E856" s="33"/>
      <c r="F856" s="33"/>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32"/>
      <c r="C857" s="33"/>
      <c r="D857" s="33"/>
      <c r="E857" s="33"/>
      <c r="F857" s="33"/>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32"/>
      <c r="C858" s="33"/>
      <c r="D858" s="33"/>
      <c r="E858" s="33"/>
      <c r="F858" s="33"/>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32"/>
      <c r="C859" s="33"/>
      <c r="D859" s="33"/>
      <c r="E859" s="33"/>
      <c r="F859" s="33"/>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32"/>
      <c r="C860" s="33"/>
      <c r="D860" s="33"/>
      <c r="E860" s="33"/>
      <c r="F860" s="33"/>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32"/>
      <c r="C861" s="33"/>
      <c r="D861" s="33"/>
      <c r="E861" s="33"/>
      <c r="F861" s="33"/>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32"/>
      <c r="C862" s="33"/>
      <c r="D862" s="33"/>
      <c r="E862" s="33"/>
      <c r="F862" s="33"/>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32"/>
      <c r="C863" s="33"/>
      <c r="D863" s="33"/>
      <c r="E863" s="33"/>
      <c r="F863" s="33"/>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32"/>
      <c r="C864" s="33"/>
      <c r="D864" s="33"/>
      <c r="E864" s="33"/>
      <c r="F864" s="33"/>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32"/>
      <c r="C865" s="33"/>
      <c r="D865" s="33"/>
      <c r="E865" s="33"/>
      <c r="F865" s="33"/>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32"/>
      <c r="C866" s="33"/>
      <c r="D866" s="33"/>
      <c r="E866" s="33"/>
      <c r="F866" s="33"/>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32"/>
      <c r="C867" s="33"/>
      <c r="D867" s="33"/>
      <c r="E867" s="33"/>
      <c r="F867" s="33"/>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32"/>
      <c r="C868" s="33"/>
      <c r="D868" s="33"/>
      <c r="E868" s="33"/>
      <c r="F868" s="33"/>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32"/>
      <c r="C869" s="33"/>
      <c r="D869" s="33"/>
      <c r="E869" s="33"/>
      <c r="F869" s="33"/>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32"/>
      <c r="C870" s="33"/>
      <c r="D870" s="33"/>
      <c r="E870" s="33"/>
      <c r="F870" s="33"/>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32"/>
      <c r="C871" s="33"/>
      <c r="D871" s="33"/>
      <c r="E871" s="33"/>
      <c r="F871" s="33"/>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32"/>
      <c r="C872" s="33"/>
      <c r="D872" s="33"/>
      <c r="E872" s="33"/>
      <c r="F872" s="33"/>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32"/>
      <c r="C873" s="33"/>
      <c r="D873" s="33"/>
      <c r="E873" s="33"/>
      <c r="F873" s="33"/>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32"/>
      <c r="C874" s="33"/>
      <c r="D874" s="33"/>
      <c r="E874" s="33"/>
      <c r="F874" s="33"/>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32"/>
      <c r="C875" s="33"/>
      <c r="D875" s="33"/>
      <c r="E875" s="33"/>
      <c r="F875" s="33"/>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32"/>
      <c r="C876" s="33"/>
      <c r="D876" s="33"/>
      <c r="E876" s="33"/>
      <c r="F876" s="33"/>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32"/>
      <c r="C877" s="33"/>
      <c r="D877" s="33"/>
      <c r="E877" s="33"/>
      <c r="F877" s="33"/>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32"/>
      <c r="C878" s="33"/>
      <c r="D878" s="33"/>
      <c r="E878" s="33"/>
      <c r="F878" s="33"/>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32"/>
      <c r="C879" s="33"/>
      <c r="D879" s="33"/>
      <c r="E879" s="33"/>
      <c r="F879" s="33"/>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32"/>
      <c r="C880" s="33"/>
      <c r="D880" s="33"/>
      <c r="E880" s="33"/>
      <c r="F880" s="33"/>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32"/>
      <c r="C881" s="33"/>
      <c r="D881" s="33"/>
      <c r="E881" s="33"/>
      <c r="F881" s="33"/>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32"/>
      <c r="C882" s="33"/>
      <c r="D882" s="33"/>
      <c r="E882" s="33"/>
      <c r="F882" s="33"/>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32"/>
      <c r="C883" s="33"/>
      <c r="D883" s="33"/>
      <c r="E883" s="33"/>
      <c r="F883" s="33"/>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32"/>
      <c r="C884" s="33"/>
      <c r="D884" s="33"/>
      <c r="E884" s="33"/>
      <c r="F884" s="33"/>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32"/>
      <c r="C885" s="33"/>
      <c r="D885" s="33"/>
      <c r="E885" s="33"/>
      <c r="F885" s="33"/>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32"/>
      <c r="C886" s="33"/>
      <c r="D886" s="33"/>
      <c r="E886" s="33"/>
      <c r="F886" s="33"/>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32"/>
      <c r="C887" s="33"/>
      <c r="D887" s="33"/>
      <c r="E887" s="33"/>
      <c r="F887" s="33"/>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32"/>
      <c r="C888" s="33"/>
      <c r="D888" s="33"/>
      <c r="E888" s="33"/>
      <c r="F888" s="33"/>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32"/>
      <c r="C889" s="33"/>
      <c r="D889" s="33"/>
      <c r="E889" s="33"/>
      <c r="F889" s="33"/>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32"/>
      <c r="C890" s="33"/>
      <c r="D890" s="33"/>
      <c r="E890" s="33"/>
      <c r="F890" s="33"/>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32"/>
      <c r="C891" s="33"/>
      <c r="D891" s="33"/>
      <c r="E891" s="33"/>
      <c r="F891" s="33"/>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32"/>
      <c r="C892" s="33"/>
      <c r="D892" s="33"/>
      <c r="E892" s="33"/>
      <c r="F892" s="33"/>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32"/>
      <c r="C893" s="33"/>
      <c r="D893" s="33"/>
      <c r="E893" s="33"/>
      <c r="F893" s="33"/>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32"/>
      <c r="C894" s="33"/>
      <c r="D894" s="33"/>
      <c r="E894" s="33"/>
      <c r="F894" s="33"/>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32"/>
      <c r="C895" s="33"/>
      <c r="D895" s="33"/>
      <c r="E895" s="33"/>
      <c r="F895" s="33"/>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32"/>
      <c r="C896" s="33"/>
      <c r="D896" s="33"/>
      <c r="E896" s="33"/>
      <c r="F896" s="33"/>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32"/>
      <c r="C897" s="33"/>
      <c r="D897" s="33"/>
      <c r="E897" s="33"/>
      <c r="F897" s="33"/>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32"/>
      <c r="C898" s="33"/>
      <c r="D898" s="33"/>
      <c r="E898" s="33"/>
      <c r="F898" s="33"/>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32"/>
      <c r="C899" s="33"/>
      <c r="D899" s="33"/>
      <c r="E899" s="33"/>
      <c r="F899" s="33"/>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32"/>
      <c r="C900" s="33"/>
      <c r="D900" s="33"/>
      <c r="E900" s="33"/>
      <c r="F900" s="33"/>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32"/>
      <c r="C901" s="33"/>
      <c r="D901" s="33"/>
      <c r="E901" s="33"/>
      <c r="F901" s="33"/>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32"/>
      <c r="C902" s="33"/>
      <c r="D902" s="33"/>
      <c r="E902" s="33"/>
      <c r="F902" s="33"/>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32"/>
      <c r="C903" s="33"/>
      <c r="D903" s="33"/>
      <c r="E903" s="33"/>
      <c r="F903" s="33"/>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32"/>
      <c r="C904" s="33"/>
      <c r="D904" s="33"/>
      <c r="E904" s="33"/>
      <c r="F904" s="33"/>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32"/>
      <c r="C905" s="33"/>
      <c r="D905" s="33"/>
      <c r="E905" s="33"/>
      <c r="F905" s="33"/>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32"/>
      <c r="C906" s="33"/>
      <c r="D906" s="33"/>
      <c r="E906" s="33"/>
      <c r="F906" s="33"/>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32"/>
      <c r="C907" s="33"/>
      <c r="D907" s="33"/>
      <c r="E907" s="33"/>
      <c r="F907" s="33"/>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32"/>
      <c r="C908" s="33"/>
      <c r="D908" s="33"/>
      <c r="E908" s="33"/>
      <c r="F908" s="33"/>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32"/>
      <c r="C909" s="33"/>
      <c r="D909" s="33"/>
      <c r="E909" s="33"/>
      <c r="F909" s="33"/>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32"/>
      <c r="C910" s="33"/>
      <c r="D910" s="33"/>
      <c r="E910" s="33"/>
      <c r="F910" s="33"/>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32"/>
      <c r="C911" s="33"/>
      <c r="D911" s="33"/>
      <c r="E911" s="33"/>
      <c r="F911" s="33"/>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32"/>
      <c r="C912" s="33"/>
      <c r="D912" s="33"/>
      <c r="E912" s="33"/>
      <c r="F912" s="33"/>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32"/>
      <c r="C913" s="33"/>
      <c r="D913" s="33"/>
      <c r="E913" s="33"/>
      <c r="F913" s="33"/>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32"/>
      <c r="C914" s="33"/>
      <c r="D914" s="33"/>
      <c r="E914" s="33"/>
      <c r="F914" s="33"/>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32"/>
      <c r="C915" s="33"/>
      <c r="D915" s="33"/>
      <c r="E915" s="33"/>
      <c r="F915" s="33"/>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32"/>
      <c r="C916" s="33"/>
      <c r="D916" s="33"/>
      <c r="E916" s="33"/>
      <c r="F916" s="33"/>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32"/>
      <c r="C917" s="33"/>
      <c r="D917" s="33"/>
      <c r="E917" s="33"/>
      <c r="F917" s="33"/>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32"/>
      <c r="C918" s="33"/>
      <c r="D918" s="33"/>
      <c r="E918" s="33"/>
      <c r="F918" s="33"/>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32"/>
      <c r="C919" s="33"/>
      <c r="D919" s="33"/>
      <c r="E919" s="33"/>
      <c r="F919" s="33"/>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32"/>
      <c r="C920" s="33"/>
      <c r="D920" s="33"/>
      <c r="E920" s="33"/>
      <c r="F920" s="33"/>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32"/>
      <c r="C921" s="33"/>
      <c r="D921" s="33"/>
      <c r="E921" s="33"/>
      <c r="F921" s="33"/>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32"/>
      <c r="C922" s="33"/>
      <c r="D922" s="33"/>
      <c r="E922" s="33"/>
      <c r="F922" s="33"/>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32"/>
      <c r="C923" s="33"/>
      <c r="D923" s="33"/>
      <c r="E923" s="33"/>
      <c r="F923" s="33"/>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32"/>
      <c r="C924" s="33"/>
      <c r="D924" s="33"/>
      <c r="E924" s="33"/>
      <c r="F924" s="33"/>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32"/>
      <c r="C925" s="33"/>
      <c r="D925" s="33"/>
      <c r="E925" s="33"/>
      <c r="F925" s="33"/>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32"/>
      <c r="C926" s="33"/>
      <c r="D926" s="33"/>
      <c r="E926" s="33"/>
      <c r="F926" s="33"/>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32"/>
      <c r="C927" s="33"/>
      <c r="D927" s="33"/>
      <c r="E927" s="33"/>
      <c r="F927" s="33"/>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32"/>
      <c r="C928" s="33"/>
      <c r="D928" s="33"/>
      <c r="E928" s="33"/>
      <c r="F928" s="33"/>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32"/>
      <c r="C929" s="33"/>
      <c r="D929" s="33"/>
      <c r="E929" s="33"/>
      <c r="F929" s="33"/>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32"/>
      <c r="C930" s="33"/>
      <c r="D930" s="33"/>
      <c r="E930" s="33"/>
      <c r="F930" s="33"/>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32"/>
      <c r="C931" s="33"/>
      <c r="D931" s="33"/>
      <c r="E931" s="33"/>
      <c r="F931" s="33"/>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32"/>
      <c r="C932" s="33"/>
      <c r="D932" s="33"/>
      <c r="E932" s="33"/>
      <c r="F932" s="33"/>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32"/>
      <c r="C933" s="33"/>
      <c r="D933" s="33"/>
      <c r="E933" s="33"/>
      <c r="F933" s="33"/>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32"/>
      <c r="C934" s="33"/>
      <c r="D934" s="33"/>
      <c r="E934" s="33"/>
      <c r="F934" s="33"/>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32"/>
      <c r="C935" s="33"/>
      <c r="D935" s="33"/>
      <c r="E935" s="33"/>
      <c r="F935" s="33"/>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32"/>
      <c r="C936" s="33"/>
      <c r="D936" s="33"/>
      <c r="E936" s="33"/>
      <c r="F936" s="33"/>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32"/>
      <c r="C937" s="33"/>
      <c r="D937" s="33"/>
      <c r="E937" s="33"/>
      <c r="F937" s="33"/>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32"/>
      <c r="C938" s="33"/>
      <c r="D938" s="33"/>
      <c r="E938" s="33"/>
      <c r="F938" s="33"/>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32"/>
      <c r="C939" s="33"/>
      <c r="D939" s="33"/>
      <c r="E939" s="33"/>
      <c r="F939" s="33"/>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32"/>
      <c r="C940" s="33"/>
      <c r="D940" s="33"/>
      <c r="E940" s="33"/>
      <c r="F940" s="33"/>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32"/>
      <c r="C941" s="33"/>
      <c r="D941" s="33"/>
      <c r="E941" s="33"/>
      <c r="F941" s="33"/>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32"/>
      <c r="C942" s="33"/>
      <c r="D942" s="33"/>
      <c r="E942" s="33"/>
      <c r="F942" s="33"/>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32"/>
      <c r="C943" s="33"/>
      <c r="D943" s="33"/>
      <c r="E943" s="33"/>
      <c r="F943" s="33"/>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32"/>
      <c r="C944" s="33"/>
      <c r="D944" s="33"/>
      <c r="E944" s="33"/>
      <c r="F944" s="33"/>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32"/>
      <c r="C945" s="33"/>
      <c r="D945" s="33"/>
      <c r="E945" s="33"/>
      <c r="F945" s="33"/>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32"/>
      <c r="C946" s="33"/>
      <c r="D946" s="33"/>
      <c r="E946" s="33"/>
      <c r="F946" s="33"/>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32"/>
      <c r="C947" s="33"/>
      <c r="D947" s="33"/>
      <c r="E947" s="33"/>
      <c r="F947" s="33"/>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32"/>
      <c r="C948" s="33"/>
      <c r="D948" s="33"/>
      <c r="E948" s="33"/>
      <c r="F948" s="33"/>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32"/>
      <c r="C949" s="33"/>
      <c r="D949" s="33"/>
      <c r="E949" s="33"/>
      <c r="F949" s="33"/>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32"/>
      <c r="C950" s="33"/>
      <c r="D950" s="33"/>
      <c r="E950" s="33"/>
      <c r="F950" s="33"/>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32"/>
      <c r="C951" s="33"/>
      <c r="D951" s="33"/>
      <c r="E951" s="33"/>
      <c r="F951" s="33"/>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32"/>
      <c r="C952" s="33"/>
      <c r="D952" s="33"/>
      <c r="E952" s="33"/>
      <c r="F952" s="33"/>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32"/>
      <c r="C953" s="33"/>
      <c r="D953" s="33"/>
      <c r="E953" s="33"/>
      <c r="F953" s="33"/>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32"/>
      <c r="C954" s="33"/>
      <c r="D954" s="33"/>
      <c r="E954" s="33"/>
      <c r="F954" s="33"/>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32"/>
      <c r="C955" s="33"/>
      <c r="D955" s="33"/>
      <c r="E955" s="33"/>
      <c r="F955" s="33"/>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32"/>
      <c r="C956" s="33"/>
      <c r="D956" s="33"/>
      <c r="E956" s="33"/>
      <c r="F956" s="33"/>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32"/>
      <c r="C957" s="33"/>
      <c r="D957" s="33"/>
      <c r="E957" s="33"/>
      <c r="F957" s="33"/>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32"/>
      <c r="C958" s="33"/>
      <c r="D958" s="33"/>
      <c r="E958" s="33"/>
      <c r="F958" s="33"/>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32"/>
      <c r="C959" s="33"/>
      <c r="D959" s="33"/>
      <c r="E959" s="33"/>
      <c r="F959" s="33"/>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32"/>
      <c r="C960" s="33"/>
      <c r="D960" s="33"/>
      <c r="E960" s="33"/>
      <c r="F960" s="33"/>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32"/>
      <c r="C961" s="33"/>
      <c r="D961" s="33"/>
      <c r="E961" s="33"/>
      <c r="F961" s="33"/>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32"/>
      <c r="C962" s="33"/>
      <c r="D962" s="33"/>
      <c r="E962" s="33"/>
      <c r="F962" s="33"/>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32"/>
      <c r="C963" s="33"/>
      <c r="D963" s="33"/>
      <c r="E963" s="33"/>
      <c r="F963" s="33"/>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32"/>
      <c r="C964" s="33"/>
      <c r="D964" s="33"/>
      <c r="E964" s="33"/>
      <c r="F964" s="33"/>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32"/>
      <c r="C965" s="33"/>
      <c r="D965" s="33"/>
      <c r="E965" s="33"/>
      <c r="F965" s="33"/>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32"/>
      <c r="C966" s="33"/>
      <c r="D966" s="33"/>
      <c r="E966" s="33"/>
      <c r="F966" s="33"/>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32"/>
      <c r="C967" s="33"/>
      <c r="D967" s="33"/>
      <c r="E967" s="33"/>
      <c r="F967" s="33"/>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32"/>
      <c r="C968" s="33"/>
      <c r="D968" s="33"/>
      <c r="E968" s="33"/>
      <c r="F968" s="33"/>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32"/>
      <c r="C969" s="33"/>
      <c r="D969" s="33"/>
      <c r="E969" s="33"/>
      <c r="F969" s="33"/>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32"/>
      <c r="C970" s="33"/>
      <c r="D970" s="33"/>
      <c r="E970" s="33"/>
      <c r="F970" s="33"/>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32"/>
      <c r="C971" s="33"/>
      <c r="D971" s="33"/>
      <c r="E971" s="33"/>
      <c r="F971" s="33"/>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32"/>
      <c r="C972" s="33"/>
      <c r="D972" s="33"/>
      <c r="E972" s="33"/>
      <c r="F972" s="33"/>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32"/>
      <c r="C973" s="33"/>
      <c r="D973" s="33"/>
      <c r="E973" s="33"/>
      <c r="F973" s="33"/>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32"/>
      <c r="C974" s="33"/>
      <c r="D974" s="33"/>
      <c r="E974" s="33"/>
      <c r="F974" s="33"/>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32"/>
      <c r="C975" s="33"/>
      <c r="D975" s="33"/>
      <c r="E975" s="33"/>
      <c r="F975" s="33"/>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32"/>
      <c r="C976" s="33"/>
      <c r="D976" s="33"/>
      <c r="E976" s="33"/>
      <c r="F976" s="33"/>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32"/>
      <c r="C977" s="33"/>
      <c r="D977" s="33"/>
      <c r="E977" s="33"/>
      <c r="F977" s="33"/>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32"/>
      <c r="C978" s="33"/>
      <c r="D978" s="33"/>
      <c r="E978" s="33"/>
      <c r="F978" s="33"/>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32"/>
      <c r="C979" s="33"/>
      <c r="D979" s="33"/>
      <c r="E979" s="33"/>
      <c r="F979" s="33"/>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32"/>
      <c r="C980" s="33"/>
      <c r="D980" s="33"/>
      <c r="E980" s="33"/>
      <c r="F980" s="33"/>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32"/>
      <c r="C981" s="33"/>
      <c r="D981" s="33"/>
      <c r="E981" s="33"/>
      <c r="F981" s="33"/>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32"/>
      <c r="C982" s="33"/>
      <c r="D982" s="33"/>
      <c r="E982" s="33"/>
      <c r="F982" s="33"/>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32"/>
      <c r="C983" s="33"/>
      <c r="D983" s="33"/>
      <c r="E983" s="33"/>
      <c r="F983" s="33"/>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32"/>
      <c r="C984" s="33"/>
      <c r="D984" s="33"/>
      <c r="E984" s="33"/>
      <c r="F984" s="33"/>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32"/>
      <c r="C985" s="33"/>
      <c r="D985" s="33"/>
      <c r="E985" s="33"/>
      <c r="F985" s="33"/>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32"/>
      <c r="C986" s="33"/>
      <c r="D986" s="33"/>
      <c r="E986" s="33"/>
      <c r="F986" s="33"/>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32"/>
      <c r="C987" s="33"/>
      <c r="D987" s="33"/>
      <c r="E987" s="33"/>
      <c r="F987" s="33"/>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32"/>
      <c r="C988" s="33"/>
      <c r="D988" s="33"/>
      <c r="E988" s="33"/>
      <c r="F988" s="33"/>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32"/>
      <c r="C989" s="33"/>
      <c r="D989" s="33"/>
      <c r="E989" s="33"/>
      <c r="F989" s="33"/>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32"/>
      <c r="C990" s="33"/>
      <c r="D990" s="33"/>
      <c r="E990" s="33"/>
      <c r="F990" s="33"/>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32"/>
      <c r="C991" s="33"/>
      <c r="D991" s="33"/>
      <c r="E991" s="33"/>
      <c r="F991" s="33"/>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32"/>
      <c r="C992" s="33"/>
      <c r="D992" s="33"/>
      <c r="E992" s="33"/>
      <c r="F992" s="33"/>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32"/>
      <c r="C993" s="33"/>
      <c r="D993" s="33"/>
      <c r="E993" s="33"/>
      <c r="F993" s="33"/>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32"/>
      <c r="C994" s="33"/>
      <c r="D994" s="33"/>
      <c r="E994" s="33"/>
      <c r="F994" s="33"/>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32"/>
      <c r="C995" s="33"/>
      <c r="D995" s="33"/>
      <c r="E995" s="33"/>
      <c r="F995" s="33"/>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32"/>
      <c r="C996" s="33"/>
      <c r="D996" s="33"/>
      <c r="E996" s="33"/>
      <c r="F996" s="33"/>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32"/>
      <c r="C997" s="33"/>
      <c r="D997" s="33"/>
      <c r="E997" s="33"/>
      <c r="F997" s="33"/>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32"/>
      <c r="C998" s="33"/>
      <c r="D998" s="33"/>
      <c r="E998" s="33"/>
      <c r="F998" s="33"/>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32"/>
      <c r="C999" s="33"/>
      <c r="D999" s="33"/>
      <c r="E999" s="33"/>
      <c r="F999" s="33"/>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32"/>
      <c r="C1000" s="33"/>
      <c r="D1000" s="33"/>
      <c r="E1000" s="33"/>
      <c r="F1000" s="33"/>
      <c r="G1000" s="10"/>
      <c r="H1000" s="10"/>
      <c r="I1000" s="10"/>
      <c r="J1000" s="10"/>
      <c r="K1000" s="10"/>
      <c r="L1000" s="10"/>
      <c r="M1000" s="10"/>
      <c r="N1000" s="10"/>
      <c r="O1000" s="10"/>
      <c r="P1000" s="10"/>
      <c r="Q1000" s="10"/>
      <c r="R1000" s="10"/>
      <c r="S1000" s="10"/>
      <c r="T1000" s="10"/>
      <c r="U1000" s="10"/>
      <c r="V1000" s="10"/>
      <c r="W1000" s="10"/>
      <c r="X1000" s="10"/>
      <c r="Y1000" s="10"/>
      <c r="Z1000" s="10"/>
    </row>
    <row r="1001" ht="12.75" customHeight="1">
      <c r="A1001" s="10"/>
      <c r="B1001" s="32"/>
      <c r="C1001" s="33"/>
      <c r="D1001" s="33"/>
      <c r="E1001" s="33"/>
      <c r="F1001" s="33"/>
      <c r="G1001" s="10"/>
      <c r="H1001" s="10"/>
      <c r="I1001" s="10"/>
      <c r="J1001" s="10"/>
      <c r="K1001" s="10"/>
      <c r="L1001" s="10"/>
      <c r="M1001" s="10"/>
      <c r="N1001" s="10"/>
      <c r="O1001" s="10"/>
      <c r="P1001" s="10"/>
      <c r="Q1001" s="10"/>
      <c r="R1001" s="10"/>
      <c r="S1001" s="10"/>
      <c r="T1001" s="10"/>
      <c r="U1001" s="10"/>
      <c r="V1001" s="10"/>
      <c r="W1001" s="10"/>
      <c r="X1001" s="10"/>
      <c r="Y1001" s="10"/>
      <c r="Z1001" s="10"/>
    </row>
    <row r="1002" ht="12.75" customHeight="1">
      <c r="A1002" s="10"/>
      <c r="B1002" s="32"/>
      <c r="C1002" s="33"/>
      <c r="D1002" s="33"/>
      <c r="E1002" s="33"/>
      <c r="F1002" s="33"/>
      <c r="G1002" s="10"/>
      <c r="H1002" s="10"/>
      <c r="I1002" s="10"/>
      <c r="J1002" s="10"/>
      <c r="K1002" s="10"/>
      <c r="L1002" s="10"/>
      <c r="M1002" s="10"/>
      <c r="N1002" s="10"/>
      <c r="O1002" s="10"/>
      <c r="P1002" s="10"/>
      <c r="Q1002" s="10"/>
      <c r="R1002" s="10"/>
      <c r="S1002" s="10"/>
      <c r="T1002" s="10"/>
      <c r="U1002" s="10"/>
      <c r="V1002" s="10"/>
      <c r="W1002" s="10"/>
      <c r="X1002" s="10"/>
      <c r="Y1002" s="10"/>
      <c r="Z1002" s="10"/>
    </row>
    <row r="1003" ht="12.75" customHeight="1">
      <c r="A1003" s="10"/>
      <c r="B1003" s="32"/>
      <c r="C1003" s="33"/>
      <c r="D1003" s="33"/>
      <c r="E1003" s="33"/>
      <c r="F1003" s="33"/>
      <c r="G1003" s="10"/>
      <c r="H1003" s="10"/>
      <c r="I1003" s="10"/>
      <c r="J1003" s="10"/>
      <c r="K1003" s="10"/>
      <c r="L1003" s="10"/>
      <c r="M1003" s="10"/>
      <c r="N1003" s="10"/>
      <c r="O1003" s="10"/>
      <c r="P1003" s="10"/>
      <c r="Q1003" s="10"/>
      <c r="R1003" s="10"/>
      <c r="S1003" s="10"/>
      <c r="T1003" s="10"/>
      <c r="U1003" s="10"/>
      <c r="V1003" s="10"/>
      <c r="W1003" s="10"/>
      <c r="X1003" s="10"/>
      <c r="Y1003" s="10"/>
      <c r="Z1003" s="10"/>
    </row>
    <row r="1004" ht="12.75" customHeight="1">
      <c r="A1004" s="10"/>
      <c r="B1004" s="32"/>
      <c r="C1004" s="33"/>
      <c r="D1004" s="33"/>
      <c r="E1004" s="33"/>
      <c r="F1004" s="33"/>
      <c r="G1004" s="10"/>
      <c r="H1004" s="10"/>
      <c r="I1004" s="10"/>
      <c r="J1004" s="10"/>
      <c r="K1004" s="10"/>
      <c r="L1004" s="10"/>
      <c r="M1004" s="10"/>
      <c r="N1004" s="10"/>
      <c r="O1004" s="10"/>
      <c r="P1004" s="10"/>
      <c r="Q1004" s="10"/>
      <c r="R1004" s="10"/>
      <c r="S1004" s="10"/>
      <c r="T1004" s="10"/>
      <c r="U1004" s="10"/>
      <c r="V1004" s="10"/>
      <c r="W1004" s="10"/>
      <c r="X1004" s="10"/>
      <c r="Y1004" s="10"/>
      <c r="Z1004" s="10"/>
    </row>
    <row r="1005" ht="12.75" customHeight="1">
      <c r="A1005" s="10"/>
      <c r="B1005" s="32"/>
      <c r="C1005" s="33"/>
      <c r="D1005" s="33"/>
      <c r="E1005" s="33"/>
      <c r="F1005" s="33"/>
      <c r="G1005" s="10"/>
      <c r="H1005" s="10"/>
      <c r="I1005" s="10"/>
      <c r="J1005" s="10"/>
      <c r="K1005" s="10"/>
      <c r="L1005" s="10"/>
      <c r="M1005" s="10"/>
      <c r="N1005" s="10"/>
      <c r="O1005" s="10"/>
      <c r="P1005" s="10"/>
      <c r="Q1005" s="10"/>
      <c r="R1005" s="10"/>
      <c r="S1005" s="10"/>
      <c r="T1005" s="10"/>
      <c r="U1005" s="10"/>
      <c r="V1005" s="10"/>
      <c r="W1005" s="10"/>
      <c r="X1005" s="10"/>
      <c r="Y1005" s="10"/>
      <c r="Z1005" s="10"/>
    </row>
    <row r="1006" ht="12.75" customHeight="1">
      <c r="A1006" s="10"/>
      <c r="B1006" s="32"/>
      <c r="C1006" s="33"/>
      <c r="D1006" s="33"/>
      <c r="E1006" s="33"/>
      <c r="F1006" s="33"/>
      <c r="G1006" s="10"/>
      <c r="H1006" s="10"/>
      <c r="I1006" s="10"/>
      <c r="J1006" s="10"/>
      <c r="K1006" s="10"/>
      <c r="L1006" s="10"/>
      <c r="M1006" s="10"/>
      <c r="N1006" s="10"/>
      <c r="O1006" s="10"/>
      <c r="P1006" s="10"/>
      <c r="Q1006" s="10"/>
      <c r="R1006" s="10"/>
      <c r="S1006" s="10"/>
      <c r="T1006" s="10"/>
      <c r="U1006" s="10"/>
      <c r="V1006" s="10"/>
      <c r="W1006" s="10"/>
      <c r="X1006" s="10"/>
      <c r="Y1006" s="10"/>
      <c r="Z1006" s="10"/>
    </row>
    <row r="1007" ht="12.75" customHeight="1">
      <c r="A1007" s="10"/>
      <c r="B1007" s="32"/>
      <c r="C1007" s="33"/>
      <c r="D1007" s="33"/>
      <c r="E1007" s="33"/>
      <c r="F1007" s="33"/>
      <c r="G1007" s="10"/>
      <c r="H1007" s="10"/>
      <c r="I1007" s="10"/>
      <c r="J1007" s="10"/>
      <c r="K1007" s="10"/>
      <c r="L1007" s="10"/>
      <c r="M1007" s="10"/>
      <c r="N1007" s="10"/>
      <c r="O1007" s="10"/>
      <c r="P1007" s="10"/>
      <c r="Q1007" s="10"/>
      <c r="R1007" s="10"/>
      <c r="S1007" s="10"/>
      <c r="T1007" s="10"/>
      <c r="U1007" s="10"/>
      <c r="V1007" s="10"/>
      <c r="W1007" s="10"/>
      <c r="X1007" s="10"/>
      <c r="Y1007" s="10"/>
      <c r="Z1007" s="10"/>
    </row>
    <row r="1008" ht="12.75" customHeight="1">
      <c r="A1008" s="10"/>
      <c r="B1008" s="32"/>
      <c r="C1008" s="33"/>
      <c r="D1008" s="33"/>
      <c r="E1008" s="33"/>
      <c r="F1008" s="33"/>
      <c r="G1008" s="10"/>
      <c r="H1008" s="10"/>
      <c r="I1008" s="10"/>
      <c r="J1008" s="10"/>
      <c r="K1008" s="10"/>
      <c r="L1008" s="10"/>
      <c r="M1008" s="10"/>
      <c r="N1008" s="10"/>
      <c r="O1008" s="10"/>
      <c r="P1008" s="10"/>
      <c r="Q1008" s="10"/>
      <c r="R1008" s="10"/>
      <c r="S1008" s="10"/>
      <c r="T1008" s="10"/>
      <c r="U1008" s="10"/>
      <c r="V1008" s="10"/>
      <c r="W1008" s="10"/>
      <c r="X1008" s="10"/>
      <c r="Y1008" s="10"/>
      <c r="Z1008" s="10"/>
    </row>
    <row r="1009" ht="12.75" customHeight="1">
      <c r="A1009" s="10"/>
      <c r="B1009" s="32"/>
      <c r="C1009" s="33"/>
      <c r="D1009" s="33"/>
      <c r="E1009" s="33"/>
      <c r="F1009" s="33"/>
      <c r="G1009" s="10"/>
      <c r="H1009" s="10"/>
      <c r="I1009" s="10"/>
      <c r="J1009" s="10"/>
      <c r="K1009" s="10"/>
      <c r="L1009" s="10"/>
      <c r="M1009" s="10"/>
      <c r="N1009" s="10"/>
      <c r="O1009" s="10"/>
      <c r="P1009" s="10"/>
      <c r="Q1009" s="10"/>
      <c r="R1009" s="10"/>
      <c r="S1009" s="10"/>
      <c r="T1009" s="10"/>
      <c r="U1009" s="10"/>
      <c r="V1009" s="10"/>
      <c r="W1009" s="10"/>
      <c r="X1009" s="10"/>
      <c r="Y1009" s="10"/>
      <c r="Z1009" s="10"/>
    </row>
    <row r="1010" ht="12.75" customHeight="1">
      <c r="A1010" s="10"/>
      <c r="B1010" s="32"/>
      <c r="C1010" s="33"/>
      <c r="D1010" s="33"/>
      <c r="E1010" s="33"/>
      <c r="F1010" s="33"/>
      <c r="G1010" s="10"/>
      <c r="H1010" s="10"/>
      <c r="I1010" s="10"/>
      <c r="J1010" s="10"/>
      <c r="K1010" s="10"/>
      <c r="L1010" s="10"/>
      <c r="M1010" s="10"/>
      <c r="N1010" s="10"/>
      <c r="O1010" s="10"/>
      <c r="P1010" s="10"/>
      <c r="Q1010" s="10"/>
      <c r="R1010" s="10"/>
      <c r="S1010" s="10"/>
      <c r="T1010" s="10"/>
      <c r="U1010" s="10"/>
      <c r="V1010" s="10"/>
      <c r="W1010" s="10"/>
      <c r="X1010" s="10"/>
      <c r="Y1010" s="10"/>
      <c r="Z1010" s="10"/>
    </row>
    <row r="1011" ht="12.75" customHeight="1">
      <c r="A1011" s="10"/>
      <c r="B1011" s="32"/>
      <c r="C1011" s="33"/>
      <c r="D1011" s="33"/>
      <c r="E1011" s="33"/>
      <c r="F1011" s="33"/>
      <c r="G1011" s="10"/>
      <c r="H1011" s="10"/>
      <c r="I1011" s="10"/>
      <c r="J1011" s="10"/>
      <c r="K1011" s="10"/>
      <c r="L1011" s="10"/>
      <c r="M1011" s="10"/>
      <c r="N1011" s="10"/>
      <c r="O1011" s="10"/>
      <c r="P1011" s="10"/>
      <c r="Q1011" s="10"/>
      <c r="R1011" s="10"/>
      <c r="S1011" s="10"/>
      <c r="T1011" s="10"/>
      <c r="U1011" s="10"/>
      <c r="V1011" s="10"/>
      <c r="W1011" s="10"/>
      <c r="X1011" s="10"/>
      <c r="Y1011" s="10"/>
      <c r="Z1011" s="10"/>
    </row>
    <row r="1012" ht="12.75" customHeight="1">
      <c r="A1012" s="10"/>
      <c r="B1012" s="32"/>
      <c r="C1012" s="33"/>
      <c r="D1012" s="33"/>
      <c r="E1012" s="33"/>
      <c r="F1012" s="33"/>
      <c r="G1012" s="10"/>
      <c r="H1012" s="10"/>
      <c r="I1012" s="10"/>
      <c r="J1012" s="10"/>
      <c r="K1012" s="10"/>
      <c r="L1012" s="10"/>
      <c r="M1012" s="10"/>
      <c r="N1012" s="10"/>
      <c r="O1012" s="10"/>
      <c r="P1012" s="10"/>
      <c r="Q1012" s="10"/>
      <c r="R1012" s="10"/>
      <c r="S1012" s="10"/>
      <c r="T1012" s="10"/>
      <c r="U1012" s="10"/>
      <c r="V1012" s="10"/>
      <c r="W1012" s="10"/>
      <c r="X1012" s="10"/>
      <c r="Y1012" s="10"/>
      <c r="Z1012" s="10"/>
    </row>
    <row r="1013" ht="12.75" customHeight="1">
      <c r="A1013" s="10"/>
      <c r="B1013" s="32"/>
      <c r="C1013" s="33"/>
      <c r="D1013" s="33"/>
      <c r="E1013" s="33"/>
      <c r="F1013" s="33"/>
      <c r="G1013" s="10"/>
      <c r="H1013" s="10"/>
      <c r="I1013" s="10"/>
      <c r="J1013" s="10"/>
      <c r="K1013" s="10"/>
      <c r="L1013" s="10"/>
      <c r="M1013" s="10"/>
      <c r="N1013" s="10"/>
      <c r="O1013" s="10"/>
      <c r="P1013" s="10"/>
      <c r="Q1013" s="10"/>
      <c r="R1013" s="10"/>
      <c r="S1013" s="10"/>
      <c r="T1013" s="10"/>
      <c r="U1013" s="10"/>
      <c r="V1013" s="10"/>
      <c r="W1013" s="10"/>
      <c r="X1013" s="10"/>
      <c r="Y1013" s="10"/>
      <c r="Z1013" s="10"/>
    </row>
    <row r="1014" ht="12.75" customHeight="1">
      <c r="A1014" s="10"/>
      <c r="B1014" s="32"/>
      <c r="C1014" s="33"/>
      <c r="D1014" s="33"/>
      <c r="E1014" s="33"/>
      <c r="F1014" s="33"/>
      <c r="G1014" s="10"/>
      <c r="H1014" s="10"/>
      <c r="I1014" s="10"/>
      <c r="J1014" s="10"/>
      <c r="K1014" s="10"/>
      <c r="L1014" s="10"/>
      <c r="M1014" s="10"/>
      <c r="N1014" s="10"/>
      <c r="O1014" s="10"/>
      <c r="P1014" s="10"/>
      <c r="Q1014" s="10"/>
      <c r="R1014" s="10"/>
      <c r="S1014" s="10"/>
      <c r="T1014" s="10"/>
      <c r="U1014" s="10"/>
      <c r="V1014" s="10"/>
      <c r="W1014" s="10"/>
      <c r="X1014" s="10"/>
      <c r="Y1014" s="10"/>
      <c r="Z1014" s="10"/>
    </row>
    <row r="1015" ht="12.75" customHeight="1">
      <c r="A1015" s="10"/>
      <c r="B1015" s="32"/>
      <c r="C1015" s="33"/>
      <c r="D1015" s="33"/>
      <c r="E1015" s="33"/>
      <c r="F1015" s="33"/>
      <c r="G1015" s="10"/>
      <c r="H1015" s="10"/>
      <c r="I1015" s="10"/>
      <c r="J1015" s="10"/>
      <c r="K1015" s="10"/>
      <c r="L1015" s="10"/>
      <c r="M1015" s="10"/>
      <c r="N1015" s="10"/>
      <c r="O1015" s="10"/>
      <c r="P1015" s="10"/>
      <c r="Q1015" s="10"/>
      <c r="R1015" s="10"/>
      <c r="S1015" s="10"/>
      <c r="T1015" s="10"/>
      <c r="U1015" s="10"/>
      <c r="V1015" s="10"/>
      <c r="W1015" s="10"/>
      <c r="X1015" s="10"/>
      <c r="Y1015" s="10"/>
      <c r="Z1015" s="10"/>
    </row>
    <row r="1016" ht="12.75" customHeight="1">
      <c r="A1016" s="10"/>
      <c r="B1016" s="32"/>
      <c r="C1016" s="33"/>
      <c r="D1016" s="33"/>
      <c r="E1016" s="33"/>
      <c r="F1016" s="33"/>
      <c r="G1016" s="10"/>
      <c r="H1016" s="10"/>
      <c r="I1016" s="10"/>
      <c r="J1016" s="10"/>
      <c r="K1016" s="10"/>
      <c r="L1016" s="10"/>
      <c r="M1016" s="10"/>
      <c r="N1016" s="10"/>
      <c r="O1016" s="10"/>
      <c r="P1016" s="10"/>
      <c r="Q1016" s="10"/>
      <c r="R1016" s="10"/>
      <c r="S1016" s="10"/>
      <c r="T1016" s="10"/>
      <c r="U1016" s="10"/>
      <c r="V1016" s="10"/>
      <c r="W1016" s="10"/>
      <c r="X1016" s="10"/>
      <c r="Y1016" s="10"/>
      <c r="Z1016" s="10"/>
    </row>
    <row r="1017" ht="12.75" customHeight="1">
      <c r="A1017" s="10"/>
      <c r="B1017" s="32"/>
      <c r="C1017" s="33"/>
      <c r="D1017" s="33"/>
      <c r="E1017" s="33"/>
      <c r="F1017" s="33"/>
      <c r="G1017" s="10"/>
      <c r="H1017" s="10"/>
      <c r="I1017" s="10"/>
      <c r="J1017" s="10"/>
      <c r="K1017" s="10"/>
      <c r="L1017" s="10"/>
      <c r="M1017" s="10"/>
      <c r="N1017" s="10"/>
      <c r="O1017" s="10"/>
      <c r="P1017" s="10"/>
      <c r="Q1017" s="10"/>
      <c r="R1017" s="10"/>
      <c r="S1017" s="10"/>
      <c r="T1017" s="10"/>
      <c r="U1017" s="10"/>
      <c r="V1017" s="10"/>
      <c r="W1017" s="10"/>
      <c r="X1017" s="10"/>
      <c r="Y1017" s="10"/>
      <c r="Z1017" s="10"/>
    </row>
    <row r="1018" ht="12.75" customHeight="1">
      <c r="A1018" s="10"/>
      <c r="B1018" s="32"/>
      <c r="C1018" s="33"/>
      <c r="D1018" s="33"/>
      <c r="E1018" s="33"/>
      <c r="F1018" s="33"/>
      <c r="G1018" s="10"/>
      <c r="H1018" s="10"/>
      <c r="I1018" s="10"/>
      <c r="J1018" s="10"/>
      <c r="K1018" s="10"/>
      <c r="L1018" s="10"/>
      <c r="M1018" s="10"/>
      <c r="N1018" s="10"/>
      <c r="O1018" s="10"/>
      <c r="P1018" s="10"/>
      <c r="Q1018" s="10"/>
      <c r="R1018" s="10"/>
      <c r="S1018" s="10"/>
      <c r="T1018" s="10"/>
      <c r="U1018" s="10"/>
      <c r="V1018" s="10"/>
      <c r="W1018" s="10"/>
      <c r="X1018" s="10"/>
      <c r="Y1018" s="10"/>
      <c r="Z1018" s="10"/>
    </row>
    <row r="1019" ht="12.75" customHeight="1">
      <c r="A1019" s="10"/>
      <c r="B1019" s="32"/>
      <c r="C1019" s="33"/>
      <c r="D1019" s="33"/>
      <c r="E1019" s="33"/>
      <c r="F1019" s="33"/>
      <c r="G1019" s="10"/>
      <c r="H1019" s="10"/>
      <c r="I1019" s="10"/>
      <c r="J1019" s="10"/>
      <c r="K1019" s="10"/>
      <c r="L1019" s="10"/>
      <c r="M1019" s="10"/>
      <c r="N1019" s="10"/>
      <c r="O1019" s="10"/>
      <c r="P1019" s="10"/>
      <c r="Q1019" s="10"/>
      <c r="R1019" s="10"/>
      <c r="S1019" s="10"/>
      <c r="T1019" s="10"/>
      <c r="U1019" s="10"/>
      <c r="V1019" s="10"/>
      <c r="W1019" s="10"/>
      <c r="X1019" s="10"/>
      <c r="Y1019" s="10"/>
      <c r="Z1019" s="10"/>
    </row>
    <row r="1020" ht="12.75" customHeight="1">
      <c r="A1020" s="10"/>
      <c r="B1020" s="32"/>
      <c r="C1020" s="33"/>
      <c r="D1020" s="33"/>
      <c r="E1020" s="33"/>
      <c r="F1020" s="33"/>
      <c r="G1020" s="10"/>
      <c r="H1020" s="10"/>
      <c r="I1020" s="10"/>
      <c r="J1020" s="10"/>
      <c r="K1020" s="10"/>
      <c r="L1020" s="10"/>
      <c r="M1020" s="10"/>
      <c r="N1020" s="10"/>
      <c r="O1020" s="10"/>
      <c r="P1020" s="10"/>
      <c r="Q1020" s="10"/>
      <c r="R1020" s="10"/>
      <c r="S1020" s="10"/>
      <c r="T1020" s="10"/>
      <c r="U1020" s="10"/>
      <c r="V1020" s="10"/>
      <c r="W1020" s="10"/>
      <c r="X1020" s="10"/>
      <c r="Y1020" s="10"/>
      <c r="Z1020" s="10"/>
    </row>
    <row r="1021" ht="12.75" customHeight="1">
      <c r="A1021" s="10"/>
      <c r="B1021" s="32"/>
      <c r="C1021" s="33"/>
      <c r="D1021" s="33"/>
      <c r="E1021" s="33"/>
      <c r="F1021" s="33"/>
      <c r="G1021" s="10"/>
      <c r="H1021" s="10"/>
      <c r="I1021" s="10"/>
      <c r="J1021" s="10"/>
      <c r="K1021" s="10"/>
      <c r="L1021" s="10"/>
      <c r="M1021" s="10"/>
      <c r="N1021" s="10"/>
      <c r="O1021" s="10"/>
      <c r="P1021" s="10"/>
      <c r="Q1021" s="10"/>
      <c r="R1021" s="10"/>
      <c r="S1021" s="10"/>
      <c r="T1021" s="10"/>
      <c r="U1021" s="10"/>
      <c r="V1021" s="10"/>
      <c r="W1021" s="10"/>
      <c r="X1021" s="10"/>
      <c r="Y1021" s="10"/>
      <c r="Z1021" s="10"/>
    </row>
    <row r="1022" ht="12.75" customHeight="1">
      <c r="A1022" s="10"/>
      <c r="B1022" s="32"/>
      <c r="C1022" s="33"/>
      <c r="D1022" s="33"/>
      <c r="E1022" s="33"/>
      <c r="F1022" s="33"/>
      <c r="G1022" s="10"/>
      <c r="H1022" s="10"/>
      <c r="I1022" s="10"/>
      <c r="J1022" s="10"/>
      <c r="K1022" s="10"/>
      <c r="L1022" s="10"/>
      <c r="M1022" s="10"/>
      <c r="N1022" s="10"/>
      <c r="O1022" s="10"/>
      <c r="P1022" s="10"/>
      <c r="Q1022" s="10"/>
      <c r="R1022" s="10"/>
      <c r="S1022" s="10"/>
      <c r="T1022" s="10"/>
      <c r="U1022" s="10"/>
      <c r="V1022" s="10"/>
      <c r="W1022" s="10"/>
      <c r="X1022" s="10"/>
      <c r="Y1022" s="10"/>
      <c r="Z1022" s="10"/>
    </row>
    <row r="1023" ht="12.75" customHeight="1">
      <c r="A1023" s="10"/>
      <c r="B1023" s="32"/>
      <c r="C1023" s="33"/>
      <c r="D1023" s="33"/>
      <c r="E1023" s="33"/>
      <c r="F1023" s="33"/>
      <c r="G1023" s="10"/>
      <c r="H1023" s="10"/>
      <c r="I1023" s="10"/>
      <c r="J1023" s="10"/>
      <c r="K1023" s="10"/>
      <c r="L1023" s="10"/>
      <c r="M1023" s="10"/>
      <c r="N1023" s="10"/>
      <c r="O1023" s="10"/>
      <c r="P1023" s="10"/>
      <c r="Q1023" s="10"/>
      <c r="R1023" s="10"/>
      <c r="S1023" s="10"/>
      <c r="T1023" s="10"/>
      <c r="U1023" s="10"/>
      <c r="V1023" s="10"/>
      <c r="W1023" s="10"/>
      <c r="X1023" s="10"/>
      <c r="Y1023" s="10"/>
      <c r="Z1023" s="10"/>
    </row>
    <row r="1024" ht="12.75" customHeight="1">
      <c r="A1024" s="10"/>
      <c r="B1024" s="32"/>
      <c r="C1024" s="33"/>
      <c r="D1024" s="33"/>
      <c r="E1024" s="33"/>
      <c r="F1024" s="33"/>
      <c r="G1024" s="10"/>
      <c r="H1024" s="10"/>
      <c r="I1024" s="10"/>
      <c r="J1024" s="10"/>
      <c r="K1024" s="10"/>
      <c r="L1024" s="10"/>
      <c r="M1024" s="10"/>
      <c r="N1024" s="10"/>
      <c r="O1024" s="10"/>
      <c r="P1024" s="10"/>
      <c r="Q1024" s="10"/>
      <c r="R1024" s="10"/>
      <c r="S1024" s="10"/>
      <c r="T1024" s="10"/>
      <c r="U1024" s="10"/>
      <c r="V1024" s="10"/>
      <c r="W1024" s="10"/>
      <c r="X1024" s="10"/>
      <c r="Y1024" s="10"/>
      <c r="Z1024" s="10"/>
    </row>
    <row r="1025" ht="12.75" customHeight="1">
      <c r="A1025" s="10"/>
      <c r="B1025" s="32"/>
      <c r="C1025" s="33"/>
      <c r="D1025" s="33"/>
      <c r="E1025" s="33"/>
      <c r="F1025" s="33"/>
      <c r="G1025" s="10"/>
      <c r="H1025" s="10"/>
      <c r="I1025" s="10"/>
      <c r="J1025" s="10"/>
      <c r="K1025" s="10"/>
      <c r="L1025" s="10"/>
      <c r="M1025" s="10"/>
      <c r="N1025" s="10"/>
      <c r="O1025" s="10"/>
      <c r="P1025" s="10"/>
      <c r="Q1025" s="10"/>
      <c r="R1025" s="10"/>
      <c r="S1025" s="10"/>
      <c r="T1025" s="10"/>
      <c r="U1025" s="10"/>
      <c r="V1025" s="10"/>
      <c r="W1025" s="10"/>
      <c r="X1025" s="10"/>
      <c r="Y1025" s="10"/>
      <c r="Z1025" s="10"/>
    </row>
    <row r="1026" ht="12.75" customHeight="1">
      <c r="A1026" s="10"/>
      <c r="B1026" s="32"/>
      <c r="C1026" s="33"/>
      <c r="D1026" s="33"/>
      <c r="E1026" s="33"/>
      <c r="F1026" s="33"/>
      <c r="G1026" s="10"/>
      <c r="H1026" s="10"/>
      <c r="I1026" s="10"/>
      <c r="J1026" s="10"/>
      <c r="K1026" s="10"/>
      <c r="L1026" s="10"/>
      <c r="M1026" s="10"/>
      <c r="N1026" s="10"/>
      <c r="O1026" s="10"/>
      <c r="P1026" s="10"/>
      <c r="Q1026" s="10"/>
      <c r="R1026" s="10"/>
      <c r="S1026" s="10"/>
      <c r="T1026" s="10"/>
      <c r="U1026" s="10"/>
      <c r="V1026" s="10"/>
      <c r="W1026" s="10"/>
      <c r="X1026" s="10"/>
      <c r="Y1026" s="10"/>
      <c r="Z1026" s="10"/>
    </row>
    <row r="1027" ht="12.75" customHeight="1">
      <c r="A1027" s="10"/>
      <c r="B1027" s="32"/>
      <c r="C1027" s="33"/>
      <c r="D1027" s="33"/>
      <c r="E1027" s="33"/>
      <c r="F1027" s="33"/>
      <c r="G1027" s="10"/>
      <c r="H1027" s="10"/>
      <c r="I1027" s="10"/>
      <c r="J1027" s="10"/>
      <c r="K1027" s="10"/>
      <c r="L1027" s="10"/>
      <c r="M1027" s="10"/>
      <c r="N1027" s="10"/>
      <c r="O1027" s="10"/>
      <c r="P1027" s="10"/>
      <c r="Q1027" s="10"/>
      <c r="R1027" s="10"/>
      <c r="S1027" s="10"/>
      <c r="T1027" s="10"/>
      <c r="U1027" s="10"/>
      <c r="V1027" s="10"/>
      <c r="W1027" s="10"/>
      <c r="X1027" s="10"/>
      <c r="Y1027" s="10"/>
      <c r="Z1027" s="10"/>
    </row>
    <row r="1028" ht="12.75" customHeight="1">
      <c r="A1028" s="10"/>
      <c r="B1028" s="32"/>
      <c r="C1028" s="33"/>
      <c r="D1028" s="33"/>
      <c r="E1028" s="33"/>
      <c r="F1028" s="33"/>
      <c r="G1028" s="10"/>
      <c r="H1028" s="10"/>
      <c r="I1028" s="10"/>
      <c r="J1028" s="10"/>
      <c r="K1028" s="10"/>
      <c r="L1028" s="10"/>
      <c r="M1028" s="10"/>
      <c r="N1028" s="10"/>
      <c r="O1028" s="10"/>
      <c r="P1028" s="10"/>
      <c r="Q1028" s="10"/>
      <c r="R1028" s="10"/>
      <c r="S1028" s="10"/>
      <c r="T1028" s="10"/>
      <c r="U1028" s="10"/>
      <c r="V1028" s="10"/>
      <c r="W1028" s="10"/>
      <c r="X1028" s="10"/>
      <c r="Y1028" s="10"/>
      <c r="Z1028" s="10"/>
    </row>
    <row r="1029" ht="12.75" customHeight="1">
      <c r="A1029" s="10"/>
      <c r="B1029" s="32"/>
      <c r="C1029" s="33"/>
      <c r="D1029" s="33"/>
      <c r="E1029" s="33"/>
      <c r="F1029" s="33"/>
      <c r="G1029" s="10"/>
      <c r="H1029" s="10"/>
      <c r="I1029" s="10"/>
      <c r="J1029" s="10"/>
      <c r="K1029" s="10"/>
      <c r="L1029" s="10"/>
      <c r="M1029" s="10"/>
      <c r="N1029" s="10"/>
      <c r="O1029" s="10"/>
      <c r="P1029" s="10"/>
      <c r="Q1029" s="10"/>
      <c r="R1029" s="10"/>
      <c r="S1029" s="10"/>
      <c r="T1029" s="10"/>
      <c r="U1029" s="10"/>
      <c r="V1029" s="10"/>
      <c r="W1029" s="10"/>
      <c r="X1029" s="10"/>
      <c r="Y1029" s="10"/>
      <c r="Z1029" s="10"/>
    </row>
    <row r="1030" ht="12.75" customHeight="1">
      <c r="A1030" s="10"/>
      <c r="B1030" s="32"/>
      <c r="C1030" s="33"/>
      <c r="D1030" s="33"/>
      <c r="E1030" s="33"/>
      <c r="F1030" s="33"/>
      <c r="G1030" s="10"/>
      <c r="H1030" s="10"/>
      <c r="I1030" s="10"/>
      <c r="J1030" s="10"/>
      <c r="K1030" s="10"/>
      <c r="L1030" s="10"/>
      <c r="M1030" s="10"/>
      <c r="N1030" s="10"/>
      <c r="O1030" s="10"/>
      <c r="P1030" s="10"/>
      <c r="Q1030" s="10"/>
      <c r="R1030" s="10"/>
      <c r="S1030" s="10"/>
      <c r="T1030" s="10"/>
      <c r="U1030" s="10"/>
      <c r="V1030" s="10"/>
      <c r="W1030" s="10"/>
      <c r="X1030" s="10"/>
      <c r="Y1030" s="10"/>
      <c r="Z1030" s="10"/>
    </row>
    <row r="1031" ht="12.75" customHeight="1">
      <c r="A1031" s="10"/>
      <c r="B1031" s="32"/>
      <c r="C1031" s="33"/>
      <c r="D1031" s="33"/>
      <c r="E1031" s="33"/>
      <c r="F1031" s="33"/>
      <c r="G1031" s="10"/>
      <c r="H1031" s="10"/>
      <c r="I1031" s="10"/>
      <c r="J1031" s="10"/>
      <c r="K1031" s="10"/>
      <c r="L1031" s="10"/>
      <c r="M1031" s="10"/>
      <c r="N1031" s="10"/>
      <c r="O1031" s="10"/>
      <c r="P1031" s="10"/>
      <c r="Q1031" s="10"/>
      <c r="R1031" s="10"/>
      <c r="S1031" s="10"/>
      <c r="T1031" s="10"/>
      <c r="U1031" s="10"/>
      <c r="V1031" s="10"/>
      <c r="W1031" s="10"/>
      <c r="X1031" s="10"/>
      <c r="Y1031" s="10"/>
      <c r="Z1031" s="10"/>
    </row>
    <row r="1032" ht="12.75" customHeight="1">
      <c r="A1032" s="10"/>
      <c r="B1032" s="32"/>
      <c r="C1032" s="33"/>
      <c r="D1032" s="33"/>
      <c r="E1032" s="33"/>
      <c r="F1032" s="33"/>
      <c r="G1032" s="10"/>
      <c r="H1032" s="10"/>
      <c r="I1032" s="10"/>
      <c r="J1032" s="10"/>
      <c r="K1032" s="10"/>
      <c r="L1032" s="10"/>
      <c r="M1032" s="10"/>
      <c r="N1032" s="10"/>
      <c r="O1032" s="10"/>
      <c r="P1032" s="10"/>
      <c r="Q1032" s="10"/>
      <c r="R1032" s="10"/>
      <c r="S1032" s="10"/>
      <c r="T1032" s="10"/>
      <c r="U1032" s="10"/>
      <c r="V1032" s="10"/>
      <c r="W1032" s="10"/>
      <c r="X1032" s="10"/>
      <c r="Y1032" s="10"/>
      <c r="Z1032" s="10"/>
    </row>
    <row r="1033" ht="12.75" customHeight="1">
      <c r="A1033" s="10"/>
      <c r="B1033" s="32"/>
      <c r="C1033" s="33"/>
      <c r="D1033" s="33"/>
      <c r="E1033" s="33"/>
      <c r="F1033" s="33"/>
      <c r="G1033" s="10"/>
      <c r="H1033" s="10"/>
      <c r="I1033" s="10"/>
      <c r="J1033" s="10"/>
      <c r="K1033" s="10"/>
      <c r="L1033" s="10"/>
      <c r="M1033" s="10"/>
      <c r="N1033" s="10"/>
      <c r="O1033" s="10"/>
      <c r="P1033" s="10"/>
      <c r="Q1033" s="10"/>
      <c r="R1033" s="10"/>
      <c r="S1033" s="10"/>
      <c r="T1033" s="10"/>
      <c r="U1033" s="10"/>
      <c r="V1033" s="10"/>
      <c r="W1033" s="10"/>
      <c r="X1033" s="10"/>
      <c r="Y1033" s="10"/>
      <c r="Z1033" s="10"/>
    </row>
    <row r="1034" ht="12.75" customHeight="1">
      <c r="A1034" s="10"/>
      <c r="B1034" s="32"/>
      <c r="C1034" s="33"/>
      <c r="D1034" s="33"/>
      <c r="E1034" s="33"/>
      <c r="F1034" s="33"/>
      <c r="G1034" s="10"/>
      <c r="H1034" s="10"/>
      <c r="I1034" s="10"/>
      <c r="J1034" s="10"/>
      <c r="K1034" s="10"/>
      <c r="L1034" s="10"/>
      <c r="M1034" s="10"/>
      <c r="N1034" s="10"/>
      <c r="O1034" s="10"/>
      <c r="P1034" s="10"/>
      <c r="Q1034" s="10"/>
      <c r="R1034" s="10"/>
      <c r="S1034" s="10"/>
      <c r="T1034" s="10"/>
      <c r="U1034" s="10"/>
      <c r="V1034" s="10"/>
      <c r="W1034" s="10"/>
      <c r="X1034" s="10"/>
      <c r="Y1034" s="10"/>
      <c r="Z1034" s="10"/>
    </row>
    <row r="1035" ht="12.75" customHeight="1">
      <c r="A1035" s="10"/>
      <c r="B1035" s="32"/>
      <c r="C1035" s="33"/>
      <c r="D1035" s="33"/>
      <c r="E1035" s="33"/>
      <c r="F1035" s="33"/>
      <c r="G1035" s="10"/>
      <c r="H1035" s="10"/>
      <c r="I1035" s="10"/>
      <c r="J1035" s="10"/>
      <c r="K1035" s="10"/>
      <c r="L1035" s="10"/>
      <c r="M1035" s="10"/>
      <c r="N1035" s="10"/>
      <c r="O1035" s="10"/>
      <c r="P1035" s="10"/>
      <c r="Q1035" s="10"/>
      <c r="R1035" s="10"/>
      <c r="S1035" s="10"/>
      <c r="T1035" s="10"/>
      <c r="U1035" s="10"/>
      <c r="V1035" s="10"/>
      <c r="W1035" s="10"/>
      <c r="X1035" s="10"/>
      <c r="Y1035" s="10"/>
      <c r="Z1035" s="10"/>
    </row>
    <row r="1036" ht="12.75" customHeight="1">
      <c r="A1036" s="10"/>
      <c r="B1036" s="32"/>
      <c r="C1036" s="33"/>
      <c r="D1036" s="33"/>
      <c r="E1036" s="33"/>
      <c r="F1036" s="33"/>
      <c r="G1036" s="10"/>
      <c r="H1036" s="10"/>
      <c r="I1036" s="10"/>
      <c r="J1036" s="10"/>
      <c r="K1036" s="10"/>
      <c r="L1036" s="10"/>
      <c r="M1036" s="10"/>
      <c r="N1036" s="10"/>
      <c r="O1036" s="10"/>
      <c r="P1036" s="10"/>
      <c r="Q1036" s="10"/>
      <c r="R1036" s="10"/>
      <c r="S1036" s="10"/>
      <c r="T1036" s="10"/>
      <c r="U1036" s="10"/>
      <c r="V1036" s="10"/>
      <c r="W1036" s="10"/>
      <c r="X1036" s="10"/>
      <c r="Y1036" s="10"/>
      <c r="Z1036" s="10"/>
    </row>
    <row r="1037" ht="12.75" customHeight="1">
      <c r="A1037" s="10"/>
      <c r="B1037" s="32"/>
      <c r="C1037" s="33"/>
      <c r="D1037" s="33"/>
      <c r="E1037" s="33"/>
      <c r="F1037" s="33"/>
      <c r="G1037" s="10"/>
      <c r="H1037" s="10"/>
      <c r="I1037" s="10"/>
      <c r="J1037" s="10"/>
      <c r="K1037" s="10"/>
      <c r="L1037" s="10"/>
      <c r="M1037" s="10"/>
      <c r="N1037" s="10"/>
      <c r="O1037" s="10"/>
      <c r="P1037" s="10"/>
      <c r="Q1037" s="10"/>
      <c r="R1037" s="10"/>
      <c r="S1037" s="10"/>
      <c r="T1037" s="10"/>
      <c r="U1037" s="10"/>
      <c r="V1037" s="10"/>
      <c r="W1037" s="10"/>
      <c r="X1037" s="10"/>
      <c r="Y1037" s="10"/>
      <c r="Z1037" s="10"/>
    </row>
    <row r="1038" ht="12.75" customHeight="1">
      <c r="A1038" s="10"/>
      <c r="B1038" s="32"/>
      <c r="C1038" s="33"/>
      <c r="D1038" s="33"/>
      <c r="E1038" s="33"/>
      <c r="F1038" s="33"/>
      <c r="G1038" s="10"/>
      <c r="H1038" s="10"/>
      <c r="I1038" s="10"/>
      <c r="J1038" s="10"/>
      <c r="K1038" s="10"/>
      <c r="L1038" s="10"/>
      <c r="M1038" s="10"/>
      <c r="N1038" s="10"/>
      <c r="O1038" s="10"/>
      <c r="P1038" s="10"/>
      <c r="Q1038" s="10"/>
      <c r="R1038" s="10"/>
      <c r="S1038" s="10"/>
      <c r="T1038" s="10"/>
      <c r="U1038" s="10"/>
      <c r="V1038" s="10"/>
      <c r="W1038" s="10"/>
      <c r="X1038" s="10"/>
      <c r="Y1038" s="10"/>
      <c r="Z1038" s="10"/>
    </row>
    <row r="1039" ht="12.75" customHeight="1">
      <c r="A1039" s="10"/>
      <c r="B1039" s="32"/>
      <c r="C1039" s="33"/>
      <c r="D1039" s="33"/>
      <c r="E1039" s="33"/>
      <c r="F1039" s="33"/>
      <c r="G1039" s="10"/>
      <c r="H1039" s="10"/>
      <c r="I1039" s="10"/>
      <c r="J1039" s="10"/>
      <c r="K1039" s="10"/>
      <c r="L1039" s="10"/>
      <c r="M1039" s="10"/>
      <c r="N1039" s="10"/>
      <c r="O1039" s="10"/>
      <c r="P1039" s="10"/>
      <c r="Q1039" s="10"/>
      <c r="R1039" s="10"/>
      <c r="S1039" s="10"/>
      <c r="T1039" s="10"/>
      <c r="U1039" s="10"/>
      <c r="V1039" s="10"/>
      <c r="W1039" s="10"/>
      <c r="X1039" s="10"/>
      <c r="Y1039" s="10"/>
      <c r="Z1039" s="10"/>
    </row>
    <row r="1040" ht="12.75" customHeight="1">
      <c r="A1040" s="10"/>
      <c r="B1040" s="32"/>
      <c r="C1040" s="33"/>
      <c r="D1040" s="33"/>
      <c r="E1040" s="33"/>
      <c r="F1040" s="33"/>
      <c r="G1040" s="10"/>
      <c r="H1040" s="10"/>
      <c r="I1040" s="10"/>
      <c r="J1040" s="10"/>
      <c r="K1040" s="10"/>
      <c r="L1040" s="10"/>
      <c r="M1040" s="10"/>
      <c r="N1040" s="10"/>
      <c r="O1040" s="10"/>
      <c r="P1040" s="10"/>
      <c r="Q1040" s="10"/>
      <c r="R1040" s="10"/>
      <c r="S1040" s="10"/>
      <c r="T1040" s="10"/>
      <c r="U1040" s="10"/>
      <c r="V1040" s="10"/>
      <c r="W1040" s="10"/>
      <c r="X1040" s="10"/>
      <c r="Y1040" s="10"/>
      <c r="Z1040" s="10"/>
    </row>
    <row r="1041" ht="12.75" customHeight="1">
      <c r="A1041" s="10"/>
      <c r="B1041" s="32"/>
      <c r="C1041" s="33"/>
      <c r="D1041" s="33"/>
      <c r="E1041" s="33"/>
      <c r="F1041" s="33"/>
      <c r="G1041" s="10"/>
      <c r="H1041" s="10"/>
      <c r="I1041" s="10"/>
      <c r="J1041" s="10"/>
      <c r="K1041" s="10"/>
      <c r="L1041" s="10"/>
      <c r="M1041" s="10"/>
      <c r="N1041" s="10"/>
      <c r="O1041" s="10"/>
      <c r="P1041" s="10"/>
      <c r="Q1041" s="10"/>
      <c r="R1041" s="10"/>
      <c r="S1041" s="10"/>
      <c r="T1041" s="10"/>
      <c r="U1041" s="10"/>
      <c r="V1041" s="10"/>
      <c r="W1041" s="10"/>
      <c r="X1041" s="10"/>
      <c r="Y1041" s="10"/>
      <c r="Z1041" s="10"/>
    </row>
  </sheetData>
  <mergeCells count="6">
    <mergeCell ref="B3:C3"/>
    <mergeCell ref="D3:F3"/>
    <mergeCell ref="B4:C4"/>
    <mergeCell ref="D4:F4"/>
    <mergeCell ref="B5:C5"/>
    <mergeCell ref="D5:F5"/>
  </mergeCells>
  <hyperlinks>
    <hyperlink display="User Account Management" location="'User Account Management'!A1" ref="D9"/>
    <hyperlink display="User Account Management" location="'User Account Management'!A1" ref="D10"/>
    <hyperlink display="User Account Management" location="'User Account Management'!A1" ref="D11"/>
    <hyperlink display="User Account Management" location="'User Account Management'!A1" ref="D12"/>
    <hyperlink display="User Account Management" location="'User Account Management'!A1" ref="D13"/>
    <hyperlink display="User Account Management" location="'User Account Management'!A1" ref="D14"/>
    <hyperlink display="User Account Management" location="'User Account Management'!A1" ref="D15"/>
    <hyperlink display="User Account Management" location="'User Account Management'!A1" ref="D16"/>
    <hyperlink display="User Account Management" location="'User Account Management'!A1" ref="D17"/>
    <hyperlink display="User Account Management" location="'User Account Management'!A1" ref="D18"/>
    <hyperlink display="User Account Management" location="'User Account Management'!A1" ref="D19"/>
    <hyperlink display="User Account Management" location="'User Account Management'!A1" ref="D20"/>
    <hyperlink display="Service Registration &amp; Payment" location="'Service Registration &amp; Payment'!A1" ref="D21"/>
    <hyperlink display="Service Registration &amp; Payment" location="'Service Registration &amp; Payment'!A1" ref="D22"/>
    <hyperlink display="Service Registration &amp; Payment" location="'Service Registration &amp; Payment'!A1" ref="D23"/>
    <hyperlink display="Service Registration &amp; Payment" location="'Service Registration &amp; Payment'!A1" ref="D24"/>
    <hyperlink display="Service Registration &amp; Payment" location="'Service Registration &amp; Payment'!A1" ref="D25"/>
    <hyperlink display="Service Registration &amp; Payment" location="'Service Registration &amp; Payment'!A1" ref="D26"/>
    <hyperlink display="Student Management" location="'Student Management'!A1" ref="D27"/>
    <hyperlink display="Student Management" location="'Student Management'!A1" ref="D28"/>
    <hyperlink display="Student Management" location="'Student Management'!A1" ref="D29"/>
    <hyperlink display="Student Management" location="'Student Management'!A1" ref="D30"/>
    <hyperlink display="Student Management" location="'Student Management'!A1" ref="D31"/>
    <hyperlink display="Student Management" location="'Student Management'!A1" ref="D32"/>
    <hyperlink display="Student Management" location="'Student Management'!A1" ref="D33"/>
    <hyperlink display="Student Management" location="'Student Management'!A1" ref="D34"/>
    <hyperlink display="Student Management" location="'Student Management'!A1" ref="D35"/>
    <hyperlink display="Student Management" location="'Student Management'!A1" ref="D36"/>
    <hyperlink display="Vehicle Management" location="'Vehicle Management'!A1" ref="D37"/>
    <hyperlink display="Vehicle Management" location="'Vehicle Management'!A1" ref="D38"/>
    <hyperlink display="Vehicle Management" location="'Vehicle Management'!A1" ref="D39"/>
    <hyperlink display="Vehicle Management" location="'Vehicle Management'!A1" ref="D40"/>
    <hyperlink display="Vehicle Management" location="'Vehicle Management'!A1" ref="D41"/>
    <hyperlink display="Vehicle Management" location="'Vehicle Management'!A1" ref="D42"/>
    <hyperlink display="Route Management" location="'Route Management'!A1" ref="D43"/>
    <hyperlink display="Route Management" location="'Route Management'!A1" ref="D44"/>
    <hyperlink display="Route Management" location="'Route Management'!A1" ref="D45"/>
    <hyperlink display="Route Management" location="'Route Management'!A1" ref="D46"/>
    <hyperlink display="Route Management" location="'Route Management'!A1" ref="D47"/>
    <hyperlink display="Route Management" location="'Route Management'!A1" ref="D48"/>
    <hyperlink display="Schedule Management" location="'Schedule Management'!A1" ref="D49"/>
    <hyperlink display="Schedule Management" location="'Schedule Management'!A1" ref="D50"/>
    <hyperlink display="Schedule Management" location="'Schedule Management'!A1" ref="D51"/>
    <hyperlink display="Schedule Management" location="'Schedule Management'!A1" ref="D52"/>
    <hyperlink display="Schedule Management" location="'Schedule Management'!A1" ref="D53"/>
    <hyperlink display="Schedule Management" location="'Schedule Management'!A1" ref="D54"/>
    <hyperlink display="Schedule Management" location="'Schedule Management'!A1" ref="D55"/>
    <hyperlink display="Schedule Management" location="'Schedule Management'!A1" ref="D56"/>
    <hyperlink display="Schedule Management" location="'Schedule Management'!A1" ref="D57"/>
    <hyperlink display="Schedule Management" location="'Schedule Management'!A1" ref="D58"/>
    <hyperlink display="Schedule Management" location="'Schedule Management'!A1" ref="D59"/>
    <hyperlink display="Trip Management" location="'Trip Management'!A1" ref="D60"/>
    <hyperlink display="Trip Management" location="'Trip Management'!A1" ref="D61"/>
    <hyperlink display="Trip Management" location="'Trip Management'!A1" ref="D62"/>
    <hyperlink display="Trip Management" location="'Trip Management'!A1" ref="D63"/>
    <hyperlink display="Trip Management" location="'Trip Management'!A1" ref="D64"/>
    <hyperlink display="Trip Management" location="'Trip Management'!A1" ref="D65"/>
    <hyperlink display="Trip Management" location="'Trip Management'!A1" ref="D66"/>
    <hyperlink display="Trip Management" location="'Trip Management'!A1" ref="D67"/>
    <hyperlink display="Attendance Management" location="'Atendance Management'!A1" ref="D68"/>
    <hyperlink display="Attendance Management" location="'Atendance Management'!A1" ref="D69"/>
    <hyperlink display="Attendance Management" location="'Atendance Management'!A1" ref="D70"/>
    <hyperlink display="Attendance Management" location="'Atendance Management'!A1" ref="D71"/>
    <hyperlink display="Vehicle Status Monitoring" location="'Vehicle Status Monitoring'!A1" ref="D72"/>
    <hyperlink display="Vehicle Status Monitoring" location="'Vehicle Status Monitoring'!A1" ref="D73"/>
    <hyperlink display="Notifications" location="Notifications!A1" ref="D74"/>
    <hyperlink display="Notifications" location="Notifications!A1" ref="D75"/>
    <hyperlink display="Notifications" location="Notifications!A1" ref="D76"/>
    <hyperlink display="Pickup/Drop-off Address Management" location="'PickupDrop-off Address Manageme'!A1" ref="D77"/>
    <hyperlink display="Reporting" location="Reporting!A1" ref="D78"/>
    <hyperlink display="Reporting" location="null!A1" ref="D79"/>
    <hyperlink display="Reporting" location="Reporting!A1" ref="D80"/>
    <hyperlink display="Reporting" location="Reporting!A1" ref="D81"/>
    <hyperlink display="Audit Logs" location="'Audit Logs'!A1" ref="D82"/>
    <hyperlink display="Audit Logs" location="'Audit Logs'!A1" ref="D83"/>
    <hyperlink display="School System Configuration" location="'School System Configuration'!A1" ref="D84"/>
    <hyperlink display="School System Configuration" location="'School System Configuration'!A1" ref="D85"/>
    <hyperlink display="School System Configuration" location="'School System Configuration'!A1" ref="D86"/>
    <hyperlink display="School System Configuration" location="'School System Configuration'!A1" ref="D87"/>
    <hyperlink display="School System Configuration" location="'School System Configuration'!A1" ref="D88"/>
    <hyperlink display="School System Configuration" location="'School System Configuration'!A1" ref="D89"/>
    <hyperlink display="School System Configuration" location="'School System Configuration'!A1" ref="D90"/>
  </hyperlinks>
  <printOptions/>
  <pageMargins bottom="1.1506944444444445" footer="0.0" header="0.0" left="0.7479166666666667" right="0.7479166666666667" top="0.9840277777777778"/>
  <pageSetup paperSize="9"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18.38"/>
    <col customWidth="1" min="3" max="3" width="27.88"/>
    <col customWidth="1" min="4" max="6" width="11.63"/>
    <col customWidth="1" min="7" max="7" width="9.0"/>
    <col customWidth="1" min="8" max="8" width="39.88"/>
    <col customWidth="1" min="9" max="26" width="9.0"/>
  </cols>
  <sheetData>
    <row r="1" ht="25.5" customHeight="1">
      <c r="A1" s="10"/>
      <c r="B1" s="58" t="s">
        <v>221</v>
      </c>
      <c r="C1" s="59"/>
      <c r="D1" s="59"/>
      <c r="E1" s="59"/>
      <c r="F1" s="59"/>
      <c r="G1" s="59"/>
      <c r="H1" s="60"/>
      <c r="I1" s="10"/>
      <c r="J1" s="10"/>
      <c r="K1" s="10"/>
      <c r="L1" s="10"/>
      <c r="M1" s="10"/>
      <c r="N1" s="10"/>
      <c r="O1" s="10"/>
      <c r="P1" s="10"/>
      <c r="Q1" s="10"/>
      <c r="R1" s="10"/>
      <c r="S1" s="10"/>
      <c r="T1" s="10"/>
      <c r="U1" s="10"/>
      <c r="V1" s="10"/>
      <c r="W1" s="10"/>
      <c r="X1" s="10"/>
      <c r="Y1" s="10"/>
      <c r="Z1" s="10"/>
    </row>
    <row r="2" ht="14.25" customHeight="1">
      <c r="A2" s="61"/>
      <c r="B2" s="61"/>
      <c r="C2" s="10"/>
      <c r="D2" s="10"/>
      <c r="E2" s="10"/>
      <c r="F2" s="10"/>
      <c r="G2" s="10"/>
      <c r="H2" s="62"/>
      <c r="I2" s="10"/>
      <c r="J2" s="10"/>
      <c r="K2" s="10"/>
      <c r="L2" s="10"/>
      <c r="M2" s="10"/>
      <c r="N2" s="10"/>
      <c r="O2" s="10"/>
      <c r="P2" s="10"/>
      <c r="Q2" s="10"/>
      <c r="R2" s="10"/>
      <c r="S2" s="10"/>
      <c r="T2" s="10"/>
      <c r="U2" s="10"/>
      <c r="V2" s="10"/>
      <c r="W2" s="10"/>
      <c r="X2" s="10"/>
      <c r="Y2" s="10"/>
      <c r="Z2" s="10"/>
    </row>
    <row r="3" ht="12.0" customHeight="1">
      <c r="A3" s="10"/>
      <c r="B3" s="63" t="s">
        <v>1</v>
      </c>
      <c r="C3" s="64" t="s">
        <v>222</v>
      </c>
      <c r="D3" s="6"/>
      <c r="E3" s="65" t="s">
        <v>3</v>
      </c>
      <c r="F3" s="6"/>
      <c r="G3" s="66"/>
      <c r="H3" s="67" t="s">
        <v>223</v>
      </c>
      <c r="I3" s="10"/>
      <c r="J3" s="10"/>
      <c r="K3" s="10"/>
      <c r="L3" s="10"/>
      <c r="M3" s="10"/>
      <c r="N3" s="10"/>
      <c r="O3" s="10"/>
      <c r="P3" s="10"/>
      <c r="Q3" s="10"/>
      <c r="R3" s="10"/>
      <c r="S3" s="10"/>
      <c r="T3" s="10"/>
      <c r="U3" s="10"/>
      <c r="V3" s="10"/>
      <c r="W3" s="10"/>
      <c r="X3" s="10"/>
      <c r="Y3" s="10"/>
      <c r="Z3" s="10"/>
    </row>
    <row r="4" ht="12.0" customHeight="1">
      <c r="A4" s="10"/>
      <c r="B4" s="63" t="s">
        <v>5</v>
      </c>
      <c r="C4" s="64" t="s">
        <v>6</v>
      </c>
      <c r="D4" s="6"/>
      <c r="E4" s="65" t="s">
        <v>224</v>
      </c>
      <c r="F4" s="6"/>
      <c r="G4" s="66"/>
      <c r="H4" s="68"/>
      <c r="I4" s="10"/>
      <c r="J4" s="10"/>
      <c r="K4" s="10"/>
      <c r="L4" s="10"/>
      <c r="M4" s="10"/>
      <c r="N4" s="10"/>
      <c r="O4" s="10"/>
      <c r="P4" s="10"/>
      <c r="Q4" s="10"/>
      <c r="R4" s="10"/>
      <c r="S4" s="10"/>
      <c r="T4" s="10"/>
      <c r="U4" s="10"/>
      <c r="V4" s="10"/>
      <c r="W4" s="10"/>
      <c r="X4" s="10"/>
      <c r="Y4" s="10"/>
      <c r="Z4" s="10"/>
    </row>
    <row r="5" ht="12.0" customHeight="1">
      <c r="A5" s="10"/>
      <c r="B5" s="69" t="s">
        <v>8</v>
      </c>
      <c r="C5" s="70" t="str">
        <f>C4&amp;"_"&amp;"Test Report"&amp;"_"&amp;"1.0"</f>
        <v>ESBMS_Test Report_1.0</v>
      </c>
      <c r="D5" s="6"/>
      <c r="E5" s="65" t="s">
        <v>7</v>
      </c>
      <c r="F5" s="6"/>
      <c r="G5" s="66"/>
      <c r="H5" s="71">
        <v>45912.0</v>
      </c>
      <c r="I5" s="10"/>
      <c r="J5" s="10"/>
      <c r="K5" s="10"/>
      <c r="L5" s="10"/>
      <c r="M5" s="10"/>
      <c r="N5" s="10"/>
      <c r="O5" s="10"/>
      <c r="P5" s="10"/>
      <c r="Q5" s="10"/>
      <c r="R5" s="10"/>
      <c r="S5" s="10"/>
      <c r="T5" s="10"/>
      <c r="U5" s="10"/>
      <c r="V5" s="10"/>
      <c r="W5" s="10"/>
      <c r="X5" s="10"/>
      <c r="Y5" s="10"/>
      <c r="Z5" s="10"/>
    </row>
    <row r="6" ht="21.75" customHeight="1">
      <c r="A6" s="61"/>
      <c r="B6" s="69" t="s">
        <v>225</v>
      </c>
      <c r="C6" s="72"/>
      <c r="D6" s="5"/>
      <c r="E6" s="5"/>
      <c r="F6" s="5"/>
      <c r="G6" s="5"/>
      <c r="H6" s="6"/>
      <c r="I6" s="10"/>
      <c r="J6" s="10"/>
      <c r="K6" s="10"/>
      <c r="L6" s="10"/>
      <c r="M6" s="10"/>
      <c r="N6" s="10"/>
      <c r="O6" s="10"/>
      <c r="P6" s="10"/>
      <c r="Q6" s="10"/>
      <c r="R6" s="10"/>
      <c r="S6" s="10"/>
      <c r="T6" s="10"/>
      <c r="U6" s="10"/>
      <c r="V6" s="10"/>
      <c r="W6" s="10"/>
      <c r="X6" s="10"/>
      <c r="Y6" s="10"/>
      <c r="Z6" s="10"/>
    </row>
    <row r="7" ht="14.25" customHeight="1">
      <c r="A7" s="61"/>
      <c r="B7" s="73"/>
      <c r="C7" s="74"/>
      <c r="D7" s="10"/>
      <c r="E7" s="10"/>
      <c r="F7" s="10"/>
      <c r="G7" s="10"/>
      <c r="H7" s="62"/>
      <c r="I7" s="10"/>
      <c r="J7" s="10"/>
      <c r="K7" s="10"/>
      <c r="L7" s="10"/>
      <c r="M7" s="10"/>
      <c r="N7" s="10"/>
      <c r="O7" s="10"/>
      <c r="P7" s="10"/>
      <c r="Q7" s="10"/>
      <c r="R7" s="10"/>
      <c r="S7" s="10"/>
      <c r="T7" s="10"/>
      <c r="U7" s="10"/>
      <c r="V7" s="10"/>
      <c r="W7" s="10"/>
      <c r="X7" s="10"/>
      <c r="Y7" s="10"/>
      <c r="Z7" s="10"/>
    </row>
    <row r="8" ht="12.75" customHeight="1">
      <c r="A8" s="10"/>
      <c r="B8" s="73"/>
      <c r="C8" s="74"/>
      <c r="D8" s="10"/>
      <c r="E8" s="10"/>
      <c r="F8" s="10"/>
      <c r="G8" s="10"/>
      <c r="H8" s="62"/>
      <c r="I8" s="10"/>
      <c r="J8" s="10"/>
      <c r="K8" s="10"/>
      <c r="L8" s="10"/>
      <c r="M8" s="10"/>
      <c r="N8" s="10"/>
      <c r="O8" s="10"/>
      <c r="P8" s="10"/>
      <c r="Q8" s="10"/>
      <c r="R8" s="10"/>
      <c r="S8" s="10"/>
      <c r="T8" s="10"/>
      <c r="U8" s="10"/>
      <c r="V8" s="10"/>
      <c r="W8" s="10"/>
      <c r="X8" s="10"/>
      <c r="Y8" s="10"/>
      <c r="Z8" s="10"/>
    </row>
    <row r="9" ht="12.75" customHeight="1">
      <c r="A9" s="10"/>
      <c r="B9" s="75"/>
      <c r="C9" s="75"/>
      <c r="D9" s="75"/>
      <c r="E9" s="75"/>
      <c r="F9" s="75"/>
      <c r="G9" s="75"/>
      <c r="H9" s="75"/>
      <c r="I9" s="10"/>
      <c r="J9" s="10"/>
      <c r="K9" s="10"/>
      <c r="L9" s="10"/>
      <c r="M9" s="10"/>
      <c r="N9" s="10"/>
      <c r="O9" s="10"/>
      <c r="P9" s="10"/>
      <c r="Q9" s="10"/>
      <c r="R9" s="10"/>
      <c r="S9" s="10"/>
      <c r="T9" s="10"/>
      <c r="U9" s="10"/>
      <c r="V9" s="10"/>
      <c r="W9" s="10"/>
      <c r="X9" s="10"/>
      <c r="Y9" s="10"/>
      <c r="Z9" s="10"/>
    </row>
    <row r="10" ht="12.75" customHeight="1">
      <c r="A10" s="52"/>
      <c r="B10" s="76" t="s">
        <v>37</v>
      </c>
      <c r="C10" s="76" t="s">
        <v>226</v>
      </c>
      <c r="D10" s="77" t="s">
        <v>227</v>
      </c>
      <c r="E10" s="76" t="s">
        <v>228</v>
      </c>
      <c r="F10" s="76" t="s">
        <v>229</v>
      </c>
      <c r="G10" s="76" t="s">
        <v>230</v>
      </c>
      <c r="H10" s="77" t="s">
        <v>231</v>
      </c>
      <c r="I10" s="57"/>
      <c r="J10" s="10"/>
      <c r="K10" s="10"/>
      <c r="L10" s="10"/>
      <c r="M10" s="10"/>
      <c r="N10" s="10"/>
      <c r="O10" s="10"/>
      <c r="P10" s="10"/>
      <c r="Q10" s="10"/>
      <c r="R10" s="10"/>
      <c r="S10" s="10"/>
      <c r="T10" s="10"/>
      <c r="U10" s="10"/>
      <c r="V10" s="10"/>
      <c r="W10" s="10"/>
      <c r="X10" s="10"/>
      <c r="Y10" s="10"/>
      <c r="Z10" s="10"/>
    </row>
    <row r="11" ht="12.75" customHeight="1">
      <c r="A11" s="52"/>
      <c r="B11" s="78">
        <v>1.0</v>
      </c>
      <c r="C11" s="79" t="str">
        <f>'User Account Management'!B2</f>
        <v>User Account Management</v>
      </c>
      <c r="D11" s="78">
        <f>'User Account Management'!B8</f>
        <v>109</v>
      </c>
      <c r="E11" s="78">
        <f>'User Account Management'!C8</f>
        <v>1</v>
      </c>
      <c r="F11" s="78">
        <f>'User Account Management'!D6</f>
        <v>0</v>
      </c>
      <c r="G11" s="78">
        <f>'User Account Management'!E6</f>
        <v>1</v>
      </c>
      <c r="H11" s="78">
        <f>'User Account Management'!B4</f>
        <v>112</v>
      </c>
      <c r="I11" s="57"/>
      <c r="J11" s="10"/>
      <c r="K11" s="10"/>
      <c r="L11" s="10"/>
      <c r="M11" s="10"/>
      <c r="N11" s="10"/>
      <c r="O11" s="10"/>
      <c r="P11" s="10"/>
      <c r="Q11" s="10"/>
      <c r="R11" s="10"/>
      <c r="S11" s="10"/>
      <c r="T11" s="10"/>
      <c r="U11" s="10"/>
      <c r="V11" s="10"/>
      <c r="W11" s="10"/>
      <c r="X11" s="10"/>
      <c r="Y11" s="10"/>
      <c r="Z11" s="10"/>
    </row>
    <row r="12" ht="12.75" customHeight="1">
      <c r="A12" s="52"/>
      <c r="B12" s="78">
        <v>2.0</v>
      </c>
      <c r="C12" s="79" t="str">
        <f>'Service Registration &amp; Payment'!B2</f>
        <v>Service Registration &amp; Payment</v>
      </c>
      <c r="D12" s="78">
        <f>'Service Registration &amp; Payment'!B8</f>
        <v>24</v>
      </c>
      <c r="E12" s="78">
        <f>'Service Registration &amp; Payment'!C8</f>
        <v>0</v>
      </c>
      <c r="F12" s="78">
        <f>'Service Registration &amp; Payment'!D6</f>
        <v>0</v>
      </c>
      <c r="G12" s="80">
        <f>'Service Registration &amp; Payment'!E6</f>
        <v>0</v>
      </c>
      <c r="H12" s="78">
        <f>'Service Registration &amp; Payment'!B4</f>
        <v>26</v>
      </c>
      <c r="I12" s="57"/>
      <c r="J12" s="10"/>
      <c r="K12" s="10"/>
      <c r="L12" s="10"/>
      <c r="M12" s="10"/>
      <c r="N12" s="10"/>
      <c r="O12" s="10"/>
      <c r="P12" s="10"/>
      <c r="Q12" s="10"/>
      <c r="R12" s="10"/>
      <c r="S12" s="10"/>
      <c r="T12" s="10"/>
      <c r="U12" s="10"/>
      <c r="V12" s="10"/>
      <c r="W12" s="10"/>
      <c r="X12" s="10"/>
      <c r="Y12" s="10"/>
      <c r="Z12" s="10"/>
    </row>
    <row r="13" ht="12.75" customHeight="1">
      <c r="A13" s="52"/>
      <c r="B13" s="78">
        <v>3.0</v>
      </c>
      <c r="C13" s="79" t="str">
        <f>'Student Management'!B2</f>
        <v>Student management</v>
      </c>
      <c r="D13" s="78">
        <f>'Student Management'!B8</f>
        <v>41</v>
      </c>
      <c r="E13" s="78">
        <f>'Student Management'!C8</f>
        <v>0</v>
      </c>
      <c r="F13" s="78">
        <f>'Student Management'!D8</f>
        <v>0</v>
      </c>
      <c r="G13" s="80">
        <f>'Student Management'!E6</f>
        <v>1</v>
      </c>
      <c r="H13" s="78">
        <f>'Student Management'!B4</f>
        <v>44</v>
      </c>
      <c r="I13" s="57"/>
      <c r="J13" s="10"/>
      <c r="K13" s="10"/>
      <c r="L13" s="10"/>
      <c r="M13" s="10"/>
      <c r="N13" s="10"/>
      <c r="O13" s="10"/>
      <c r="P13" s="10"/>
      <c r="Q13" s="10"/>
      <c r="R13" s="10"/>
      <c r="S13" s="10"/>
      <c r="T13" s="10"/>
      <c r="U13" s="10"/>
      <c r="V13" s="10"/>
      <c r="W13" s="10"/>
      <c r="X13" s="10"/>
      <c r="Y13" s="10"/>
      <c r="Z13" s="10"/>
    </row>
    <row r="14" ht="12.75" customHeight="1">
      <c r="A14" s="52"/>
      <c r="B14" s="78">
        <v>4.0</v>
      </c>
      <c r="C14" s="79" t="str">
        <f>'Vehicle Management'!B2</f>
        <v>Verifies the complete vehicle management flow—including registering, editing, assigning, monitoring, and deactivating vehicles—covering input validation, operational constraints, assignment consistency, safety parameters, and role-based permissions.</v>
      </c>
      <c r="D14" s="78">
        <f>'Vehicle Management'!B8</f>
        <v>22</v>
      </c>
      <c r="E14" s="78">
        <f>'Vehicle Management'!C8</f>
        <v>3</v>
      </c>
      <c r="F14" s="80">
        <f>'Vehicle Management'!D8</f>
        <v>2</v>
      </c>
      <c r="G14" s="80">
        <f>'Vehicle Management'!E6</f>
        <v>0</v>
      </c>
      <c r="H14" s="78">
        <f>'Vehicle Management'!B4</f>
        <v>27</v>
      </c>
      <c r="I14" s="57"/>
      <c r="J14" s="10"/>
      <c r="K14" s="10"/>
      <c r="L14" s="10"/>
      <c r="M14" s="10"/>
      <c r="N14" s="10"/>
      <c r="O14" s="10"/>
      <c r="P14" s="10"/>
      <c r="Q14" s="10"/>
      <c r="R14" s="10"/>
      <c r="S14" s="10"/>
      <c r="T14" s="10"/>
      <c r="U14" s="10"/>
      <c r="V14" s="10"/>
      <c r="W14" s="10"/>
      <c r="X14" s="10"/>
      <c r="Y14" s="10"/>
      <c r="Z14" s="10"/>
    </row>
    <row r="15" ht="12.75" customHeight="1">
      <c r="A15" s="52"/>
      <c r="B15" s="78">
        <v>5.0</v>
      </c>
      <c r="C15" s="79" t="str">
        <f>'Route Management'!B2</f>
        <v>Route Management</v>
      </c>
      <c r="D15" s="78">
        <f>'Route Management'!B8</f>
        <v>54</v>
      </c>
      <c r="E15" s="78">
        <f>'Route Management'!C8</f>
        <v>0</v>
      </c>
      <c r="F15" s="80">
        <f>'Route Management'!D8</f>
        <v>0</v>
      </c>
      <c r="G15" s="80">
        <f>'Route Management'!E6</f>
        <v>0</v>
      </c>
      <c r="H15" s="78">
        <f>'Route Management'!B4</f>
        <v>54</v>
      </c>
      <c r="I15" s="57"/>
      <c r="J15" s="10"/>
      <c r="K15" s="10"/>
      <c r="L15" s="10"/>
      <c r="M15" s="10"/>
      <c r="N15" s="10"/>
      <c r="O15" s="10"/>
      <c r="P15" s="10"/>
      <c r="Q15" s="10"/>
      <c r="R15" s="10"/>
      <c r="S15" s="10"/>
      <c r="T15" s="10"/>
      <c r="U15" s="10"/>
      <c r="V15" s="10"/>
      <c r="W15" s="10"/>
      <c r="X15" s="10"/>
      <c r="Y15" s="10"/>
      <c r="Z15" s="10"/>
    </row>
    <row r="16" ht="12.75" customHeight="1">
      <c r="A16" s="52"/>
      <c r="B16" s="78">
        <v>6.0</v>
      </c>
      <c r="C16" s="79" t="str">
        <f>'Schedule Management'!B2</f>
        <v>Schedule Management</v>
      </c>
      <c r="D16" s="78">
        <f>'Schedule Management'!B8</f>
        <v>122</v>
      </c>
      <c r="E16" s="78">
        <f>'Schedule Management'!C8</f>
        <v>3</v>
      </c>
      <c r="F16" s="80">
        <f>'Schedule Management'!D7</f>
        <v>0</v>
      </c>
      <c r="G16" s="80">
        <f>'Schedule Management'!E7</f>
        <v>0</v>
      </c>
      <c r="H16" s="78">
        <f>'Schedule Management'!B4</f>
        <v>125</v>
      </c>
      <c r="I16" s="57"/>
      <c r="J16" s="10"/>
      <c r="K16" s="10"/>
      <c r="L16" s="10"/>
      <c r="M16" s="10"/>
      <c r="N16" s="10"/>
      <c r="O16" s="10"/>
      <c r="P16" s="10"/>
      <c r="Q16" s="10"/>
      <c r="R16" s="10"/>
      <c r="S16" s="10"/>
      <c r="T16" s="10"/>
      <c r="U16" s="10"/>
      <c r="V16" s="10"/>
      <c r="W16" s="10"/>
      <c r="X16" s="10"/>
      <c r="Y16" s="10"/>
      <c r="Z16" s="10"/>
    </row>
    <row r="17" ht="12.75" customHeight="1">
      <c r="A17" s="52"/>
      <c r="B17" s="78">
        <v>7.0</v>
      </c>
      <c r="C17" s="79" t="str">
        <f>'Trip Management'!B2</f>
        <v>Trip Management</v>
      </c>
      <c r="D17" s="78">
        <f>'Trip Management'!B8</f>
        <v>52</v>
      </c>
      <c r="E17" s="78">
        <f>'Trip Management'!C8</f>
        <v>0</v>
      </c>
      <c r="F17" s="80">
        <f>'Trip Management'!D6</f>
        <v>0</v>
      </c>
      <c r="G17" s="80">
        <f>'Trip Management'!E6</f>
        <v>0</v>
      </c>
      <c r="H17" s="78">
        <f>'Trip Management'!B4</f>
        <v>52</v>
      </c>
      <c r="I17" s="57"/>
      <c r="J17" s="10"/>
      <c r="K17" s="10"/>
      <c r="L17" s="10"/>
      <c r="M17" s="10"/>
      <c r="N17" s="10"/>
      <c r="O17" s="10"/>
      <c r="P17" s="10"/>
      <c r="Q17" s="10"/>
      <c r="R17" s="10"/>
      <c r="S17" s="10"/>
      <c r="T17" s="10"/>
      <c r="U17" s="10"/>
      <c r="V17" s="10"/>
      <c r="W17" s="10"/>
      <c r="X17" s="10"/>
      <c r="Y17" s="10"/>
      <c r="Z17" s="10"/>
    </row>
    <row r="18" ht="12.75" customHeight="1">
      <c r="A18" s="52"/>
      <c r="B18" s="78">
        <v>8.0</v>
      </c>
      <c r="C18" s="79" t="str">
        <f>'Atendance Management'!B2</f>
        <v>Attendance Management</v>
      </c>
      <c r="D18" s="78">
        <f>'Atendance Management'!B8</f>
        <v>38</v>
      </c>
      <c r="E18" s="78">
        <f>'Atendance Management'!C8</f>
        <v>0</v>
      </c>
      <c r="F18" s="80">
        <f>'Atendance Management'!D6</f>
        <v>0</v>
      </c>
      <c r="G18" s="80">
        <f>'Atendance Management'!E6</f>
        <v>0</v>
      </c>
      <c r="H18" s="78">
        <f>'Atendance Management'!B4</f>
        <v>38</v>
      </c>
      <c r="I18" s="57"/>
      <c r="J18" s="10"/>
      <c r="K18" s="10"/>
      <c r="L18" s="10"/>
      <c r="M18" s="10"/>
      <c r="N18" s="10"/>
      <c r="O18" s="10"/>
      <c r="P18" s="10"/>
      <c r="Q18" s="10"/>
      <c r="R18" s="10"/>
      <c r="S18" s="10"/>
      <c r="T18" s="10"/>
      <c r="U18" s="10"/>
      <c r="V18" s="10"/>
      <c r="W18" s="10"/>
      <c r="X18" s="10"/>
      <c r="Y18" s="10"/>
      <c r="Z18" s="10"/>
    </row>
    <row r="19" ht="14.25" customHeight="1">
      <c r="A19" s="52"/>
      <c r="B19" s="78">
        <v>9.0</v>
      </c>
      <c r="C19" s="79" t="str">
        <f>'Vehicle Status Monitoring'!B2</f>
        <v>Vehicle Status Monitoring</v>
      </c>
      <c r="D19" s="78">
        <f>'Vehicle Status Monitoring'!B8</f>
        <v>9</v>
      </c>
      <c r="E19" s="78">
        <f>'Vehicle Status Monitoring'!C8</f>
        <v>0</v>
      </c>
      <c r="F19" s="78">
        <f>'Vehicle Status Monitoring'!D6</f>
        <v>0</v>
      </c>
      <c r="G19" s="80">
        <f>'Vehicle Status Monitoring'!E6</f>
        <v>0</v>
      </c>
      <c r="H19" s="78">
        <f>'Vehicle Status Monitoring'!B4</f>
        <v>12</v>
      </c>
      <c r="I19" s="57"/>
      <c r="J19" s="10"/>
      <c r="K19" s="10"/>
      <c r="L19" s="10"/>
      <c r="M19" s="10"/>
      <c r="N19" s="10"/>
      <c r="O19" s="10"/>
      <c r="P19" s="10"/>
      <c r="Q19" s="10"/>
      <c r="R19" s="10"/>
      <c r="S19" s="10"/>
      <c r="T19" s="10"/>
      <c r="U19" s="10"/>
      <c r="V19" s="10"/>
      <c r="W19" s="10"/>
      <c r="X19" s="10"/>
      <c r="Y19" s="10"/>
      <c r="Z19" s="10"/>
    </row>
    <row r="20" ht="12.75" customHeight="1">
      <c r="A20" s="52"/>
      <c r="B20" s="78">
        <v>10.0</v>
      </c>
      <c r="C20" s="79" t="str">
        <f>Notifications!B2</f>
        <v>Notifications</v>
      </c>
      <c r="D20" s="78">
        <f>Notifications!B8</f>
        <v>10</v>
      </c>
      <c r="E20" s="78">
        <f>Notifications!C8</f>
        <v>2</v>
      </c>
      <c r="F20" s="78">
        <f>Notifications!D6</f>
        <v>0</v>
      </c>
      <c r="G20" s="78">
        <f>Notifications!E6</f>
        <v>0</v>
      </c>
      <c r="H20" s="78">
        <f>Notifications!B4</f>
        <v>12</v>
      </c>
      <c r="I20" s="57"/>
      <c r="J20" s="10"/>
      <c r="K20" s="10"/>
      <c r="L20" s="10"/>
      <c r="M20" s="10"/>
      <c r="N20" s="10"/>
      <c r="O20" s="10"/>
      <c r="P20" s="10"/>
      <c r="Q20" s="10"/>
      <c r="R20" s="10"/>
      <c r="S20" s="10"/>
      <c r="T20" s="10"/>
      <c r="U20" s="10"/>
      <c r="V20" s="10"/>
      <c r="W20" s="10"/>
      <c r="X20" s="10"/>
      <c r="Y20" s="10"/>
      <c r="Z20" s="10"/>
    </row>
    <row r="21" ht="12.75" customHeight="1">
      <c r="A21" s="52"/>
      <c r="B21" s="78">
        <v>11.0</v>
      </c>
      <c r="C21" s="79" t="str">
        <f>'PickupDrop-off Address Manageme'!B2</f>
        <v>Pickup/Drop-off Address Management</v>
      </c>
      <c r="D21" s="78">
        <f>'PickupDrop-off Address Manageme'!B8</f>
        <v>8</v>
      </c>
      <c r="E21" s="78">
        <f>'PickupDrop-off Address Manageme'!C8</f>
        <v>0</v>
      </c>
      <c r="F21" s="78">
        <f>'PickupDrop-off Address Manageme'!D6</f>
        <v>0</v>
      </c>
      <c r="G21" s="78">
        <f>'PickupDrop-off Address Manageme'!E6</f>
        <v>0</v>
      </c>
      <c r="H21" s="78">
        <f>'PickupDrop-off Address Manageme'!B4</f>
        <v>10</v>
      </c>
      <c r="I21" s="57"/>
      <c r="J21" s="10"/>
      <c r="K21" s="10"/>
      <c r="L21" s="10"/>
      <c r="M21" s="10"/>
      <c r="N21" s="10"/>
      <c r="O21" s="10"/>
      <c r="P21" s="10"/>
      <c r="Q21" s="10"/>
      <c r="R21" s="10"/>
      <c r="S21" s="10"/>
      <c r="T21" s="10"/>
      <c r="U21" s="10"/>
      <c r="V21" s="10"/>
      <c r="W21" s="10"/>
      <c r="X21" s="10"/>
      <c r="Y21" s="10"/>
      <c r="Z21" s="10"/>
    </row>
    <row r="22" ht="12.75" customHeight="1">
      <c r="A22" s="52"/>
      <c r="B22" s="78">
        <v>12.0</v>
      </c>
      <c r="C22" s="79" t="str">
        <f>Reporting!B2</f>
        <v>Reporting</v>
      </c>
      <c r="D22" s="78">
        <f>Reporting!B8</f>
        <v>16</v>
      </c>
      <c r="E22" s="78">
        <f>Reporting!C8</f>
        <v>3</v>
      </c>
      <c r="F22" s="78">
        <f>Reporting!D6</f>
        <v>0</v>
      </c>
      <c r="G22" s="78">
        <f>Reporting!E6</f>
        <v>1</v>
      </c>
      <c r="H22" s="78">
        <f>Reporting!B4</f>
        <v>20</v>
      </c>
      <c r="I22" s="57"/>
      <c r="J22" s="10"/>
      <c r="K22" s="10"/>
      <c r="L22" s="10"/>
      <c r="M22" s="10"/>
      <c r="N22" s="10"/>
      <c r="O22" s="10"/>
      <c r="P22" s="10"/>
      <c r="Q22" s="10"/>
      <c r="R22" s="10"/>
      <c r="S22" s="10"/>
      <c r="T22" s="10"/>
      <c r="U22" s="10"/>
      <c r="V22" s="10"/>
      <c r="W22" s="10"/>
      <c r="X22" s="10"/>
      <c r="Y22" s="10"/>
      <c r="Z22" s="10"/>
    </row>
    <row r="23" ht="12.75" customHeight="1">
      <c r="A23" s="52"/>
      <c r="B23" s="78">
        <v>13.0</v>
      </c>
      <c r="C23" s="79" t="str">
        <f>'Audit Logs'!B2</f>
        <v>Audit Logs</v>
      </c>
      <c r="D23" s="78">
        <f>'Audit Logs'!B8</f>
        <v>6</v>
      </c>
      <c r="E23" s="78">
        <f>'Audit Logs'!C8</f>
        <v>2</v>
      </c>
      <c r="F23" s="78">
        <f>'Audit Logs'!D6</f>
        <v>0</v>
      </c>
      <c r="G23" s="78">
        <f>'Audit Logs'!E6</f>
        <v>0</v>
      </c>
      <c r="H23" s="78">
        <f>'Audit Logs'!B4</f>
        <v>8</v>
      </c>
      <c r="I23" s="57"/>
      <c r="J23" s="10"/>
      <c r="K23" s="10"/>
      <c r="L23" s="10"/>
      <c r="M23" s="10"/>
      <c r="N23" s="10"/>
      <c r="O23" s="10"/>
      <c r="P23" s="10"/>
      <c r="Q23" s="10"/>
      <c r="R23" s="10"/>
      <c r="S23" s="10"/>
      <c r="T23" s="10"/>
      <c r="U23" s="10"/>
      <c r="V23" s="10"/>
      <c r="W23" s="10"/>
      <c r="X23" s="10"/>
      <c r="Y23" s="10"/>
      <c r="Z23" s="10"/>
    </row>
    <row r="24" ht="12.75" customHeight="1">
      <c r="A24" s="52"/>
      <c r="B24" s="78">
        <v>14.0</v>
      </c>
      <c r="C24" s="79" t="str">
        <f>'School System Configuration'!B2</f>
        <v>School System Configuration</v>
      </c>
      <c r="D24" s="78">
        <f>'School System Configuration'!B8</f>
        <v>23</v>
      </c>
      <c r="E24" s="78">
        <f>'School System Configuration'!C8</f>
        <v>0</v>
      </c>
      <c r="F24" s="78">
        <f>'School System Configuration'!D6</f>
        <v>1</v>
      </c>
      <c r="G24" s="78">
        <f>'School System Configuration'!E6</f>
        <v>0</v>
      </c>
      <c r="H24" s="78">
        <f>'School System Configuration'!B4</f>
        <v>26</v>
      </c>
      <c r="I24" s="57"/>
      <c r="J24" s="10"/>
      <c r="K24" s="10"/>
      <c r="L24" s="10"/>
      <c r="M24" s="10"/>
      <c r="N24" s="10"/>
      <c r="O24" s="10"/>
      <c r="P24" s="10"/>
      <c r="Q24" s="10"/>
      <c r="R24" s="10"/>
      <c r="S24" s="10"/>
      <c r="T24" s="10"/>
      <c r="U24" s="10"/>
      <c r="V24" s="10"/>
      <c r="W24" s="10"/>
      <c r="X24" s="10"/>
      <c r="Y24" s="10"/>
      <c r="Z24" s="10"/>
    </row>
    <row r="25" ht="12.75" customHeight="1">
      <c r="A25" s="52"/>
      <c r="B25" s="81"/>
      <c r="C25" s="82" t="s">
        <v>232</v>
      </c>
      <c r="D25" s="81">
        <f t="shared" ref="D25:H25" si="1">SUM(D11:D24)</f>
        <v>534</v>
      </c>
      <c r="E25" s="81">
        <f t="shared" si="1"/>
        <v>14</v>
      </c>
      <c r="F25" s="81">
        <f t="shared" si="1"/>
        <v>3</v>
      </c>
      <c r="G25" s="81">
        <f t="shared" si="1"/>
        <v>3</v>
      </c>
      <c r="H25" s="81">
        <f t="shared" si="1"/>
        <v>566</v>
      </c>
      <c r="I25" s="57"/>
      <c r="J25" s="10"/>
      <c r="K25" s="10"/>
      <c r="L25" s="10"/>
      <c r="M25" s="10"/>
      <c r="N25" s="10"/>
      <c r="O25" s="10"/>
      <c r="P25" s="10"/>
      <c r="Q25" s="10"/>
      <c r="R25" s="10"/>
      <c r="S25" s="10"/>
      <c r="T25" s="10"/>
      <c r="U25" s="10"/>
      <c r="V25" s="10"/>
      <c r="W25" s="10"/>
      <c r="X25" s="10"/>
      <c r="Y25" s="10"/>
      <c r="Z25" s="10"/>
    </row>
    <row r="26" ht="12.75" customHeight="1">
      <c r="A26" s="10"/>
      <c r="B26" s="83"/>
      <c r="C26" s="84"/>
      <c r="D26" s="85"/>
      <c r="E26" s="86"/>
      <c r="F26" s="86"/>
      <c r="G26" s="86"/>
      <c r="H26" s="86"/>
      <c r="I26" s="10"/>
      <c r="J26" s="10"/>
      <c r="K26" s="10"/>
      <c r="L26" s="10"/>
      <c r="M26" s="10"/>
      <c r="N26" s="10"/>
      <c r="O26" s="10"/>
      <c r="P26" s="10"/>
      <c r="Q26" s="10"/>
      <c r="R26" s="10"/>
      <c r="S26" s="10"/>
      <c r="T26" s="10"/>
      <c r="U26" s="10"/>
      <c r="V26" s="10"/>
      <c r="W26" s="10"/>
      <c r="X26" s="10"/>
      <c r="Y26" s="10"/>
      <c r="Z26" s="10"/>
    </row>
    <row r="27" ht="12.75" customHeight="1">
      <c r="A27" s="10"/>
      <c r="B27" s="10"/>
      <c r="C27" s="8" t="s">
        <v>233</v>
      </c>
      <c r="D27" s="10"/>
      <c r="E27" s="87">
        <f>(D25+E25)*100/(H25-G25)</f>
        <v>97.3357016</v>
      </c>
      <c r="F27" s="10" t="s">
        <v>234</v>
      </c>
      <c r="G27" s="10"/>
      <c r="H27" s="88"/>
      <c r="I27" s="10"/>
      <c r="J27" s="10"/>
      <c r="K27" s="10"/>
      <c r="L27" s="10"/>
      <c r="M27" s="10"/>
      <c r="N27" s="10"/>
      <c r="O27" s="10"/>
      <c r="P27" s="10"/>
      <c r="Q27" s="10"/>
      <c r="R27" s="10"/>
      <c r="S27" s="10"/>
      <c r="T27" s="10"/>
      <c r="U27" s="10"/>
      <c r="V27" s="10"/>
      <c r="W27" s="10"/>
      <c r="X27" s="10"/>
      <c r="Y27" s="10"/>
      <c r="Z27" s="10"/>
    </row>
    <row r="28" ht="12.75" customHeight="1">
      <c r="A28" s="10"/>
      <c r="B28" s="10"/>
      <c r="C28" s="8" t="s">
        <v>235</v>
      </c>
      <c r="D28" s="10"/>
      <c r="E28" s="87">
        <f>D25*100/(H25-G25)</f>
        <v>94.84902309</v>
      </c>
      <c r="F28" s="10" t="s">
        <v>234</v>
      </c>
      <c r="G28" s="10"/>
      <c r="H28" s="88"/>
      <c r="I28" s="10"/>
      <c r="J28" s="10"/>
      <c r="K28" s="10"/>
      <c r="L28" s="10"/>
      <c r="M28" s="10"/>
      <c r="N28" s="10"/>
      <c r="O28" s="10"/>
      <c r="P28" s="10"/>
      <c r="Q28" s="1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ht="12.75" customHeight="1">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ht="12.75" customHeight="1">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ht="12.75" customHeight="1">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row>
    <row r="1007" ht="12.75" customHeight="1">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row>
    <row r="1008" ht="12.75" customHeight="1">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row>
    <row r="1009" ht="12.75" customHeight="1">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row>
    <row r="1010" ht="12.75" customHeight="1">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row>
    <row r="1011" ht="12.75" customHeight="1">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row>
  </sheetData>
  <mergeCells count="8">
    <mergeCell ref="B1:H1"/>
    <mergeCell ref="C3:D3"/>
    <mergeCell ref="E3:F3"/>
    <mergeCell ref="C4:D4"/>
    <mergeCell ref="E4:F4"/>
    <mergeCell ref="C5:D5"/>
    <mergeCell ref="E5:F5"/>
    <mergeCell ref="C6:H6"/>
  </mergeCells>
  <printOptions/>
  <pageMargins bottom="0.9840277777777777" footer="0.0" header="0.0" left="0.7479166666666667" right="0.7479166666666667" top="0.9840277777777778"/>
  <pageSetup orientation="landscape"/>
  <headerFooter>
    <oddFooter>&amp;L 02ae-BM/PM/HDCV/FSOFT v2/0&amp;CInternal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10.0" outlineLevel="1"/>
    <col customWidth="1" min="9" max="9" width="9.38"/>
    <col customWidth="1" min="10" max="10" width="10.63" outlineLevel="1"/>
    <col customWidth="1" min="11" max="11" width="10.0" outlineLevel="1"/>
    <col customWidth="1" min="12" max="12" width="9.38"/>
    <col customWidth="1" min="13" max="13" width="10.63" outlineLevel="1"/>
    <col customWidth="1" min="14" max="14" width="9.6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89"/>
      <c r="R1" s="10"/>
      <c r="S1" s="10"/>
      <c r="T1" s="10"/>
      <c r="U1" s="10"/>
      <c r="V1" s="10"/>
      <c r="W1" s="10"/>
      <c r="X1" s="10"/>
      <c r="Y1" s="10"/>
      <c r="Z1" s="10"/>
    </row>
    <row r="2" ht="15.0" customHeight="1">
      <c r="A2" s="90" t="s">
        <v>236</v>
      </c>
      <c r="B2" s="91" t="s">
        <v>43</v>
      </c>
      <c r="C2" s="92"/>
      <c r="D2" s="92"/>
      <c r="E2" s="93"/>
      <c r="F2" s="94"/>
      <c r="G2" s="95"/>
      <c r="H2" s="40"/>
      <c r="I2" s="94"/>
      <c r="J2" s="95"/>
      <c r="K2" s="40"/>
      <c r="L2" s="94"/>
      <c r="M2" s="95"/>
      <c r="N2" s="40"/>
      <c r="O2" s="40"/>
      <c r="P2" s="40"/>
      <c r="Q2" s="96"/>
      <c r="R2" s="97" t="s">
        <v>227</v>
      </c>
      <c r="S2" s="97"/>
      <c r="T2" s="97"/>
      <c r="U2" s="97"/>
      <c r="V2" s="97"/>
      <c r="W2" s="97"/>
      <c r="X2" s="97"/>
      <c r="Y2" s="97"/>
      <c r="Z2" s="97"/>
    </row>
    <row r="3" ht="12.75" customHeight="1">
      <c r="A3" s="98" t="s">
        <v>237</v>
      </c>
      <c r="B3" s="99" t="s">
        <v>238</v>
      </c>
      <c r="C3" s="5"/>
      <c r="D3" s="5"/>
      <c r="E3" s="100"/>
      <c r="F3" s="94"/>
      <c r="G3" s="95"/>
      <c r="H3" s="40"/>
      <c r="I3" s="94"/>
      <c r="J3" s="95"/>
      <c r="K3" s="40"/>
      <c r="L3" s="94"/>
      <c r="M3" s="95"/>
      <c r="N3" s="40"/>
      <c r="O3" s="40"/>
      <c r="P3" s="40"/>
      <c r="Q3" s="96"/>
      <c r="R3" s="97" t="s">
        <v>228</v>
      </c>
      <c r="S3" s="97"/>
      <c r="T3" s="97"/>
      <c r="U3" s="97"/>
      <c r="V3" s="97"/>
      <c r="W3" s="97"/>
      <c r="X3" s="97"/>
      <c r="Y3" s="97"/>
      <c r="Z3" s="97"/>
    </row>
    <row r="4" ht="18.0" customHeight="1">
      <c r="A4" s="98" t="s">
        <v>239</v>
      </c>
      <c r="B4" s="99">
        <f>COUNTA(A12:A1008)-7</f>
        <v>112</v>
      </c>
      <c r="C4" s="5"/>
      <c r="D4" s="5"/>
      <c r="E4" s="100"/>
      <c r="F4" s="94"/>
      <c r="G4" s="95"/>
      <c r="H4" s="40"/>
      <c r="I4" s="94"/>
      <c r="J4" s="95"/>
      <c r="K4" s="40"/>
      <c r="L4" s="94"/>
      <c r="M4" s="95"/>
      <c r="N4" s="40"/>
      <c r="O4" s="40"/>
      <c r="P4" s="40"/>
      <c r="Q4" s="96"/>
      <c r="R4" s="97" t="s">
        <v>229</v>
      </c>
      <c r="S4" s="97"/>
      <c r="T4" s="97"/>
      <c r="U4" s="97"/>
      <c r="V4" s="97"/>
      <c r="W4" s="97"/>
      <c r="X4" s="97"/>
      <c r="Y4" s="97"/>
      <c r="Z4" s="97"/>
    </row>
    <row r="5" ht="19.5" customHeight="1">
      <c r="A5" s="101" t="s">
        <v>240</v>
      </c>
      <c r="B5" s="102" t="s">
        <v>227</v>
      </c>
      <c r="C5" s="102" t="s">
        <v>228</v>
      </c>
      <c r="D5" s="102" t="s">
        <v>229</v>
      </c>
      <c r="E5" s="103" t="s">
        <v>230</v>
      </c>
      <c r="F5" s="104"/>
      <c r="G5" s="104"/>
      <c r="H5" s="105"/>
      <c r="I5" s="104"/>
      <c r="J5" s="104"/>
      <c r="K5" s="105"/>
      <c r="L5" s="104"/>
      <c r="M5" s="104"/>
      <c r="N5" s="105"/>
      <c r="O5" s="105"/>
      <c r="P5" s="105"/>
      <c r="Q5" s="106"/>
      <c r="R5" s="97" t="s">
        <v>230</v>
      </c>
      <c r="S5" s="97"/>
      <c r="T5" s="97"/>
      <c r="U5" s="97"/>
      <c r="V5" s="97"/>
      <c r="W5" s="97"/>
      <c r="X5" s="97"/>
      <c r="Y5" s="97"/>
      <c r="Z5" s="97"/>
    </row>
    <row r="6" ht="15.0" customHeight="1">
      <c r="A6" s="101" t="s">
        <v>241</v>
      </c>
      <c r="B6" s="107">
        <f>COUNTIF($F10:$F1026,B5)</f>
        <v>95</v>
      </c>
      <c r="C6" s="107">
        <f t="shared" ref="C6:E6" si="1">COUNTIF($F10:$F981,C5)</f>
        <v>16</v>
      </c>
      <c r="D6" s="107">
        <f t="shared" si="1"/>
        <v>0</v>
      </c>
      <c r="E6" s="108">
        <f t="shared" si="1"/>
        <v>1</v>
      </c>
      <c r="F6" s="109"/>
      <c r="G6" s="109"/>
      <c r="H6" s="105"/>
      <c r="I6" s="109"/>
      <c r="J6" s="109"/>
      <c r="K6" s="105"/>
      <c r="L6" s="109"/>
      <c r="M6" s="109"/>
      <c r="N6" s="105"/>
      <c r="O6" s="105"/>
      <c r="P6" s="105"/>
      <c r="Q6" s="106"/>
      <c r="R6" s="97"/>
      <c r="S6" s="97"/>
      <c r="T6" s="97"/>
      <c r="U6" s="97"/>
      <c r="V6" s="97"/>
      <c r="W6" s="97"/>
      <c r="X6" s="97"/>
      <c r="Y6" s="97"/>
      <c r="Z6" s="97"/>
    </row>
    <row r="7" ht="15.0" customHeight="1">
      <c r="A7" s="101" t="s">
        <v>242</v>
      </c>
      <c r="B7" s="107">
        <f t="shared" ref="B7:C7" si="2">COUNTIF($I10:$I1007,B5)</f>
        <v>107</v>
      </c>
      <c r="C7" s="107">
        <f t="shared" si="2"/>
        <v>4</v>
      </c>
      <c r="D7" s="107">
        <f t="shared" ref="D7:E7" si="3">COUNTIF($F10:$F981,D5)</f>
        <v>0</v>
      </c>
      <c r="E7" s="108">
        <f t="shared" si="3"/>
        <v>1</v>
      </c>
      <c r="F7" s="109"/>
      <c r="G7" s="109"/>
      <c r="H7" s="105"/>
      <c r="I7" s="109"/>
      <c r="J7" s="109"/>
      <c r="K7" s="105"/>
      <c r="L7" s="109"/>
      <c r="M7" s="109"/>
      <c r="N7" s="105"/>
      <c r="O7" s="105"/>
      <c r="P7" s="105"/>
      <c r="Q7" s="106"/>
      <c r="R7" s="97"/>
      <c r="S7" s="97"/>
      <c r="T7" s="97"/>
      <c r="U7" s="97"/>
      <c r="V7" s="97"/>
      <c r="W7" s="97"/>
      <c r="X7" s="97"/>
      <c r="Y7" s="97"/>
      <c r="Z7" s="97"/>
    </row>
    <row r="8" ht="15.0" customHeight="1">
      <c r="A8" s="110" t="s">
        <v>243</v>
      </c>
      <c r="B8" s="111">
        <f t="shared" ref="B8:D8" si="4">COUNTIF($L10:$L1007,B5)</f>
        <v>109</v>
      </c>
      <c r="C8" s="111">
        <f t="shared" si="4"/>
        <v>1</v>
      </c>
      <c r="D8" s="111">
        <f t="shared" si="4"/>
        <v>0</v>
      </c>
      <c r="E8" s="112">
        <f>COUNTIF($F10:$F981,E5)</f>
        <v>1</v>
      </c>
      <c r="F8" s="109"/>
      <c r="G8" s="109"/>
      <c r="H8" s="105"/>
      <c r="I8" s="109"/>
      <c r="J8" s="109"/>
      <c r="K8" s="105"/>
      <c r="L8" s="109"/>
      <c r="M8" s="109"/>
      <c r="N8" s="105"/>
      <c r="O8" s="105"/>
      <c r="P8" s="105"/>
      <c r="Q8" s="106"/>
      <c r="R8" s="97"/>
      <c r="S8" s="97"/>
      <c r="T8" s="97"/>
      <c r="U8" s="97"/>
      <c r="V8" s="97"/>
      <c r="W8" s="97"/>
      <c r="X8" s="97"/>
      <c r="Y8" s="97"/>
      <c r="Z8" s="97"/>
    </row>
    <row r="9" ht="15.0" customHeight="1">
      <c r="A9" s="105"/>
      <c r="B9" s="105"/>
      <c r="C9" s="105"/>
      <c r="D9" s="105"/>
      <c r="E9" s="105"/>
      <c r="F9" s="88"/>
      <c r="G9" s="105"/>
      <c r="H9" s="105"/>
      <c r="I9" s="88"/>
      <c r="J9" s="105"/>
      <c r="K9" s="105"/>
      <c r="L9" s="88"/>
      <c r="M9" s="113"/>
      <c r="N9" s="105"/>
      <c r="O9" s="105"/>
      <c r="P9" s="105"/>
      <c r="Q9" s="106"/>
      <c r="R9" s="97"/>
      <c r="S9" s="97"/>
      <c r="T9" s="97"/>
      <c r="U9" s="97"/>
      <c r="V9" s="97"/>
      <c r="W9" s="97"/>
      <c r="X9" s="97"/>
      <c r="Y9" s="97"/>
      <c r="Z9" s="97"/>
    </row>
    <row r="10" ht="25.5" customHeight="1">
      <c r="A10" s="114" t="s">
        <v>244</v>
      </c>
      <c r="B10" s="114" t="s">
        <v>245</v>
      </c>
      <c r="C10" s="114" t="s">
        <v>246</v>
      </c>
      <c r="D10" s="114" t="s">
        <v>247</v>
      </c>
      <c r="E10" s="114" t="s">
        <v>248</v>
      </c>
      <c r="F10" s="114" t="s">
        <v>241</v>
      </c>
      <c r="G10" s="114" t="s">
        <v>249</v>
      </c>
      <c r="H10" s="114" t="s">
        <v>250</v>
      </c>
      <c r="I10" s="114" t="s">
        <v>242</v>
      </c>
      <c r="J10" s="114" t="s">
        <v>249</v>
      </c>
      <c r="K10" s="114" t="s">
        <v>250</v>
      </c>
      <c r="L10" s="114" t="s">
        <v>243</v>
      </c>
      <c r="M10" s="114" t="s">
        <v>249</v>
      </c>
      <c r="N10" s="114" t="s">
        <v>250</v>
      </c>
      <c r="O10" s="114" t="s">
        <v>251</v>
      </c>
      <c r="P10" s="97"/>
      <c r="Q10" s="115"/>
      <c r="R10" s="97"/>
      <c r="S10" s="97"/>
      <c r="T10" s="97"/>
      <c r="U10" s="97"/>
      <c r="V10" s="97"/>
      <c r="W10" s="97"/>
      <c r="X10" s="97"/>
      <c r="Y10" s="97"/>
      <c r="Z10" s="97"/>
    </row>
    <row r="11" ht="15.75" customHeight="1">
      <c r="A11" s="116" t="s">
        <v>252</v>
      </c>
      <c r="B11" s="117"/>
      <c r="C11" s="117"/>
      <c r="D11" s="117"/>
      <c r="E11" s="117"/>
      <c r="F11" s="117"/>
      <c r="G11" s="117"/>
      <c r="H11" s="117"/>
      <c r="I11" s="117"/>
      <c r="J11" s="117"/>
      <c r="K11" s="117"/>
      <c r="L11" s="117"/>
      <c r="M11" s="117"/>
      <c r="N11" s="117"/>
      <c r="O11" s="117"/>
      <c r="P11" s="118"/>
      <c r="Q11" s="119"/>
      <c r="R11" s="97"/>
      <c r="S11" s="97"/>
      <c r="T11" s="97"/>
      <c r="U11" s="97"/>
      <c r="V11" s="97"/>
      <c r="W11" s="97"/>
      <c r="X11" s="97"/>
      <c r="Y11" s="97"/>
      <c r="Z11" s="97"/>
    </row>
    <row r="12" ht="12.75" customHeight="1" outlineLevel="1">
      <c r="A12" s="120" t="s">
        <v>253</v>
      </c>
      <c r="B12" s="120" t="s">
        <v>254</v>
      </c>
      <c r="C12" s="120" t="s">
        <v>255</v>
      </c>
      <c r="D12" s="121" t="s">
        <v>256</v>
      </c>
      <c r="E12" s="121" t="s">
        <v>257</v>
      </c>
      <c r="F12" s="120" t="s">
        <v>227</v>
      </c>
      <c r="G12" s="122">
        <v>45914.0</v>
      </c>
      <c r="H12" s="120" t="s">
        <v>258</v>
      </c>
      <c r="I12" s="120" t="s">
        <v>227</v>
      </c>
      <c r="J12" s="122">
        <v>45954.0</v>
      </c>
      <c r="K12" s="120" t="s">
        <v>259</v>
      </c>
      <c r="L12" s="120" t="s">
        <v>227</v>
      </c>
      <c r="M12" s="122">
        <v>45974.0</v>
      </c>
      <c r="N12" s="120" t="s">
        <v>258</v>
      </c>
      <c r="O12" s="123"/>
      <c r="P12" s="57"/>
      <c r="Q12" s="124"/>
      <c r="R12" s="10"/>
      <c r="S12" s="10"/>
      <c r="T12" s="10"/>
      <c r="U12" s="10"/>
      <c r="V12" s="10"/>
      <c r="W12" s="10"/>
      <c r="X12" s="10"/>
      <c r="Y12" s="10"/>
      <c r="Z12" s="10"/>
    </row>
    <row r="13" ht="12.75" customHeight="1" outlineLevel="1">
      <c r="A13" s="120" t="s">
        <v>260</v>
      </c>
      <c r="B13" s="120" t="s">
        <v>261</v>
      </c>
      <c r="C13" s="120" t="s">
        <v>262</v>
      </c>
      <c r="D13" s="121" t="s">
        <v>263</v>
      </c>
      <c r="E13" s="121" t="s">
        <v>264</v>
      </c>
      <c r="F13" s="120" t="s">
        <v>227</v>
      </c>
      <c r="G13" s="122">
        <v>45914.0</v>
      </c>
      <c r="H13" s="120" t="s">
        <v>258</v>
      </c>
      <c r="I13" s="120" t="s">
        <v>227</v>
      </c>
      <c r="J13" s="122">
        <v>45954.0</v>
      </c>
      <c r="K13" s="120" t="s">
        <v>259</v>
      </c>
      <c r="L13" s="120" t="s">
        <v>227</v>
      </c>
      <c r="M13" s="122">
        <v>45974.0</v>
      </c>
      <c r="N13" s="120" t="s">
        <v>258</v>
      </c>
      <c r="O13" s="123"/>
      <c r="P13" s="57"/>
      <c r="Q13" s="124"/>
      <c r="R13" s="10"/>
      <c r="S13" s="10"/>
      <c r="T13" s="10"/>
      <c r="U13" s="10"/>
      <c r="V13" s="10"/>
      <c r="W13" s="10"/>
      <c r="X13" s="10"/>
      <c r="Y13" s="10"/>
      <c r="Z13" s="10"/>
    </row>
    <row r="14" ht="12.75" customHeight="1" outlineLevel="1">
      <c r="A14" s="120" t="s">
        <v>265</v>
      </c>
      <c r="B14" s="120" t="s">
        <v>266</v>
      </c>
      <c r="C14" s="120" t="s">
        <v>267</v>
      </c>
      <c r="D14" s="121" t="s">
        <v>268</v>
      </c>
      <c r="E14" s="121" t="s">
        <v>269</v>
      </c>
      <c r="F14" s="120" t="s">
        <v>227</v>
      </c>
      <c r="G14" s="122">
        <v>45914.0</v>
      </c>
      <c r="H14" s="120" t="s">
        <v>258</v>
      </c>
      <c r="I14" s="120" t="s">
        <v>227</v>
      </c>
      <c r="J14" s="122">
        <v>45954.0</v>
      </c>
      <c r="K14" s="120" t="s">
        <v>259</v>
      </c>
      <c r="L14" s="120" t="s">
        <v>227</v>
      </c>
      <c r="M14" s="122">
        <v>45974.0</v>
      </c>
      <c r="N14" s="120" t="s">
        <v>258</v>
      </c>
      <c r="O14" s="123"/>
      <c r="P14" s="57"/>
      <c r="Q14" s="124"/>
      <c r="R14" s="10"/>
      <c r="S14" s="10"/>
      <c r="T14" s="10"/>
      <c r="U14" s="10"/>
      <c r="V14" s="10"/>
      <c r="W14" s="10"/>
      <c r="X14" s="10"/>
      <c r="Y14" s="10"/>
      <c r="Z14" s="10"/>
    </row>
    <row r="15" ht="12.75" customHeight="1" outlineLevel="1">
      <c r="A15" s="120" t="s">
        <v>270</v>
      </c>
      <c r="B15" s="120" t="s">
        <v>271</v>
      </c>
      <c r="C15" s="120" t="s">
        <v>272</v>
      </c>
      <c r="D15" s="121" t="s">
        <v>273</v>
      </c>
      <c r="E15" s="121" t="s">
        <v>274</v>
      </c>
      <c r="F15" s="120" t="s">
        <v>227</v>
      </c>
      <c r="G15" s="122">
        <v>45914.0</v>
      </c>
      <c r="H15" s="120" t="s">
        <v>258</v>
      </c>
      <c r="I15" s="120" t="s">
        <v>227</v>
      </c>
      <c r="J15" s="122">
        <v>45954.0</v>
      </c>
      <c r="K15" s="120" t="s">
        <v>259</v>
      </c>
      <c r="L15" s="120" t="s">
        <v>227</v>
      </c>
      <c r="M15" s="122">
        <v>45974.0</v>
      </c>
      <c r="N15" s="120" t="s">
        <v>258</v>
      </c>
      <c r="O15" s="123"/>
      <c r="P15" s="57"/>
      <c r="Q15" s="124"/>
      <c r="R15" s="10"/>
      <c r="S15" s="10"/>
      <c r="T15" s="10"/>
      <c r="U15" s="10"/>
      <c r="V15" s="10"/>
      <c r="W15" s="10"/>
      <c r="X15" s="10"/>
      <c r="Y15" s="10"/>
      <c r="Z15" s="10"/>
    </row>
    <row r="16" ht="12.75" customHeight="1" outlineLevel="1">
      <c r="A16" s="120" t="s">
        <v>275</v>
      </c>
      <c r="B16" s="120" t="s">
        <v>276</v>
      </c>
      <c r="C16" s="120" t="s">
        <v>277</v>
      </c>
      <c r="D16" s="121" t="s">
        <v>278</v>
      </c>
      <c r="E16" s="121" t="s">
        <v>279</v>
      </c>
      <c r="F16" s="120" t="s">
        <v>227</v>
      </c>
      <c r="G16" s="122">
        <v>45914.0</v>
      </c>
      <c r="H16" s="120" t="s">
        <v>258</v>
      </c>
      <c r="I16" s="120" t="s">
        <v>227</v>
      </c>
      <c r="J16" s="122">
        <v>45954.0</v>
      </c>
      <c r="K16" s="120" t="s">
        <v>259</v>
      </c>
      <c r="L16" s="120" t="s">
        <v>227</v>
      </c>
      <c r="M16" s="122">
        <v>45974.0</v>
      </c>
      <c r="N16" s="120" t="s">
        <v>258</v>
      </c>
      <c r="O16" s="123"/>
      <c r="P16" s="57"/>
      <c r="Q16" s="124"/>
      <c r="R16" s="10"/>
      <c r="S16" s="10"/>
      <c r="T16" s="10"/>
      <c r="U16" s="10"/>
      <c r="V16" s="10"/>
      <c r="W16" s="10"/>
      <c r="X16" s="10"/>
      <c r="Y16" s="10"/>
      <c r="Z16" s="10"/>
    </row>
    <row r="17" ht="12.75" customHeight="1" outlineLevel="1">
      <c r="A17" s="120" t="s">
        <v>280</v>
      </c>
      <c r="B17" s="120" t="s">
        <v>281</v>
      </c>
      <c r="C17" s="120" t="s">
        <v>282</v>
      </c>
      <c r="D17" s="121" t="s">
        <v>283</v>
      </c>
      <c r="E17" s="121" t="s">
        <v>284</v>
      </c>
      <c r="F17" s="120" t="s">
        <v>227</v>
      </c>
      <c r="G17" s="122">
        <v>45914.0</v>
      </c>
      <c r="H17" s="120" t="s">
        <v>258</v>
      </c>
      <c r="I17" s="120" t="s">
        <v>227</v>
      </c>
      <c r="J17" s="122">
        <v>45954.0</v>
      </c>
      <c r="K17" s="120" t="s">
        <v>259</v>
      </c>
      <c r="L17" s="120" t="s">
        <v>227</v>
      </c>
      <c r="M17" s="122">
        <v>45974.0</v>
      </c>
      <c r="N17" s="120" t="s">
        <v>258</v>
      </c>
      <c r="O17" s="123"/>
      <c r="P17" s="57"/>
      <c r="Q17" s="124"/>
      <c r="R17" s="10"/>
      <c r="S17" s="10"/>
      <c r="T17" s="10"/>
      <c r="U17" s="10"/>
      <c r="V17" s="10"/>
      <c r="W17" s="10"/>
      <c r="X17" s="10"/>
      <c r="Y17" s="10"/>
      <c r="Z17" s="10"/>
    </row>
    <row r="18" ht="12.75" customHeight="1" outlineLevel="1">
      <c r="A18" s="120" t="s">
        <v>285</v>
      </c>
      <c r="B18" s="120" t="s">
        <v>286</v>
      </c>
      <c r="C18" s="120" t="s">
        <v>287</v>
      </c>
      <c r="D18" s="121" t="s">
        <v>288</v>
      </c>
      <c r="E18" s="121" t="s">
        <v>289</v>
      </c>
      <c r="F18" s="120" t="s">
        <v>227</v>
      </c>
      <c r="G18" s="122">
        <v>45914.0</v>
      </c>
      <c r="H18" s="120" t="s">
        <v>258</v>
      </c>
      <c r="I18" s="120" t="s">
        <v>227</v>
      </c>
      <c r="J18" s="122">
        <v>45954.0</v>
      </c>
      <c r="K18" s="120" t="s">
        <v>259</v>
      </c>
      <c r="L18" s="120" t="s">
        <v>227</v>
      </c>
      <c r="M18" s="122">
        <v>45974.0</v>
      </c>
      <c r="N18" s="120" t="s">
        <v>258</v>
      </c>
      <c r="O18" s="123"/>
      <c r="P18" s="57"/>
      <c r="Q18" s="124"/>
      <c r="R18" s="10"/>
      <c r="S18" s="10"/>
      <c r="T18" s="10"/>
      <c r="U18" s="10"/>
      <c r="V18" s="10"/>
      <c r="W18" s="10"/>
      <c r="X18" s="10"/>
      <c r="Y18" s="10"/>
      <c r="Z18" s="10"/>
    </row>
    <row r="19" ht="12.75" customHeight="1" outlineLevel="1">
      <c r="A19" s="120" t="s">
        <v>290</v>
      </c>
      <c r="B19" s="120" t="s">
        <v>291</v>
      </c>
      <c r="C19" s="120" t="s">
        <v>292</v>
      </c>
      <c r="D19" s="121" t="s">
        <v>293</v>
      </c>
      <c r="E19" s="121" t="s">
        <v>294</v>
      </c>
      <c r="F19" s="120" t="s">
        <v>228</v>
      </c>
      <c r="G19" s="122">
        <v>45914.0</v>
      </c>
      <c r="H19" s="120" t="s">
        <v>258</v>
      </c>
      <c r="I19" s="120" t="s">
        <v>227</v>
      </c>
      <c r="J19" s="122">
        <v>45954.0</v>
      </c>
      <c r="K19" s="120" t="s">
        <v>259</v>
      </c>
      <c r="L19" s="120" t="s">
        <v>227</v>
      </c>
      <c r="M19" s="122">
        <v>45974.0</v>
      </c>
      <c r="N19" s="120" t="s">
        <v>258</v>
      </c>
      <c r="O19" s="120" t="s">
        <v>295</v>
      </c>
      <c r="P19" s="57"/>
      <c r="Q19" s="124"/>
      <c r="R19" s="10"/>
      <c r="S19" s="10"/>
      <c r="T19" s="10"/>
      <c r="U19" s="10"/>
      <c r="V19" s="10"/>
      <c r="W19" s="10"/>
      <c r="X19" s="10"/>
      <c r="Y19" s="10"/>
      <c r="Z19" s="10"/>
    </row>
    <row r="20" ht="12.75" customHeight="1" outlineLevel="1">
      <c r="A20" s="120" t="s">
        <v>296</v>
      </c>
      <c r="B20" s="120" t="s">
        <v>297</v>
      </c>
      <c r="C20" s="120" t="s">
        <v>298</v>
      </c>
      <c r="D20" s="121" t="s">
        <v>299</v>
      </c>
      <c r="E20" s="121" t="s">
        <v>300</v>
      </c>
      <c r="F20" s="120" t="s">
        <v>227</v>
      </c>
      <c r="G20" s="122">
        <v>45914.0</v>
      </c>
      <c r="H20" s="120" t="s">
        <v>258</v>
      </c>
      <c r="I20" s="120" t="s">
        <v>227</v>
      </c>
      <c r="J20" s="122">
        <v>45954.0</v>
      </c>
      <c r="K20" s="120" t="s">
        <v>259</v>
      </c>
      <c r="L20" s="120" t="s">
        <v>227</v>
      </c>
      <c r="M20" s="122">
        <v>45974.0</v>
      </c>
      <c r="N20" s="120" t="s">
        <v>258</v>
      </c>
      <c r="O20" s="123"/>
      <c r="P20" s="57"/>
      <c r="Q20" s="124"/>
      <c r="R20" s="10"/>
      <c r="S20" s="10"/>
      <c r="T20" s="10"/>
      <c r="U20" s="10"/>
      <c r="V20" s="10"/>
      <c r="W20" s="10"/>
      <c r="X20" s="10"/>
      <c r="Y20" s="10"/>
      <c r="Z20" s="10"/>
    </row>
    <row r="21" ht="12.75" customHeight="1" outlineLevel="1">
      <c r="A21" s="120" t="s">
        <v>301</v>
      </c>
      <c r="B21" s="120" t="s">
        <v>302</v>
      </c>
      <c r="C21" s="120" t="s">
        <v>303</v>
      </c>
      <c r="D21" s="121" t="s">
        <v>304</v>
      </c>
      <c r="E21" s="121" t="s">
        <v>305</v>
      </c>
      <c r="F21" s="120" t="s">
        <v>227</v>
      </c>
      <c r="G21" s="122">
        <v>45914.0</v>
      </c>
      <c r="H21" s="120" t="s">
        <v>258</v>
      </c>
      <c r="I21" s="120" t="s">
        <v>227</v>
      </c>
      <c r="J21" s="122">
        <v>45954.0</v>
      </c>
      <c r="K21" s="120" t="s">
        <v>259</v>
      </c>
      <c r="L21" s="120" t="s">
        <v>227</v>
      </c>
      <c r="M21" s="122">
        <v>45974.0</v>
      </c>
      <c r="N21" s="120" t="s">
        <v>258</v>
      </c>
      <c r="O21" s="123"/>
      <c r="P21" s="57"/>
      <c r="Q21" s="124"/>
      <c r="R21" s="10"/>
      <c r="S21" s="10"/>
      <c r="T21" s="10"/>
      <c r="U21" s="10"/>
      <c r="V21" s="10"/>
      <c r="W21" s="10"/>
      <c r="X21" s="10"/>
      <c r="Y21" s="10"/>
      <c r="Z21" s="10"/>
    </row>
    <row r="22" ht="12.75" customHeight="1" outlineLevel="1">
      <c r="A22" s="120" t="s">
        <v>306</v>
      </c>
      <c r="B22" s="120" t="s">
        <v>307</v>
      </c>
      <c r="C22" s="120" t="s">
        <v>308</v>
      </c>
      <c r="D22" s="121" t="s">
        <v>309</v>
      </c>
      <c r="E22" s="121" t="s">
        <v>310</v>
      </c>
      <c r="F22" s="120" t="s">
        <v>227</v>
      </c>
      <c r="G22" s="122">
        <v>45914.0</v>
      </c>
      <c r="H22" s="120" t="s">
        <v>258</v>
      </c>
      <c r="I22" s="120" t="s">
        <v>227</v>
      </c>
      <c r="J22" s="122">
        <v>45954.0</v>
      </c>
      <c r="K22" s="120" t="s">
        <v>259</v>
      </c>
      <c r="L22" s="120" t="s">
        <v>227</v>
      </c>
      <c r="M22" s="122">
        <v>45974.0</v>
      </c>
      <c r="N22" s="120" t="s">
        <v>258</v>
      </c>
      <c r="O22" s="123"/>
      <c r="P22" s="57"/>
      <c r="Q22" s="124"/>
      <c r="R22" s="10"/>
      <c r="S22" s="10"/>
      <c r="T22" s="10"/>
      <c r="U22" s="10"/>
      <c r="V22" s="10"/>
      <c r="W22" s="10"/>
      <c r="X22" s="10"/>
      <c r="Y22" s="10"/>
      <c r="Z22" s="10"/>
    </row>
    <row r="23" ht="12.75" customHeight="1" outlineLevel="1">
      <c r="A23" s="120" t="s">
        <v>311</v>
      </c>
      <c r="B23" s="120" t="s">
        <v>312</v>
      </c>
      <c r="C23" s="120" t="s">
        <v>308</v>
      </c>
      <c r="D23" s="121" t="s">
        <v>313</v>
      </c>
      <c r="E23" s="121" t="s">
        <v>310</v>
      </c>
      <c r="F23" s="120" t="s">
        <v>227</v>
      </c>
      <c r="G23" s="122">
        <v>45914.0</v>
      </c>
      <c r="H23" s="120" t="s">
        <v>258</v>
      </c>
      <c r="I23" s="120" t="s">
        <v>227</v>
      </c>
      <c r="J23" s="122">
        <v>45954.0</v>
      </c>
      <c r="K23" s="120" t="s">
        <v>259</v>
      </c>
      <c r="L23" s="120" t="s">
        <v>227</v>
      </c>
      <c r="M23" s="122">
        <v>45974.0</v>
      </c>
      <c r="N23" s="120" t="s">
        <v>258</v>
      </c>
      <c r="O23" s="123"/>
      <c r="P23" s="57"/>
      <c r="Q23" s="124"/>
      <c r="R23" s="10"/>
      <c r="S23" s="10"/>
      <c r="T23" s="10"/>
      <c r="U23" s="10"/>
      <c r="V23" s="10"/>
      <c r="W23" s="10"/>
      <c r="X23" s="10"/>
      <c r="Y23" s="10"/>
      <c r="Z23" s="10"/>
    </row>
    <row r="24" ht="12.75" customHeight="1" outlineLevel="1">
      <c r="A24" s="120" t="s">
        <v>314</v>
      </c>
      <c r="B24" s="120" t="s">
        <v>315</v>
      </c>
      <c r="C24" s="120" t="s">
        <v>316</v>
      </c>
      <c r="D24" s="121" t="s">
        <v>317</v>
      </c>
      <c r="E24" s="121" t="s">
        <v>318</v>
      </c>
      <c r="F24" s="120" t="s">
        <v>227</v>
      </c>
      <c r="G24" s="122">
        <v>45914.0</v>
      </c>
      <c r="H24" s="120" t="s">
        <v>258</v>
      </c>
      <c r="I24" s="120" t="s">
        <v>227</v>
      </c>
      <c r="J24" s="122">
        <v>45954.0</v>
      </c>
      <c r="K24" s="120" t="s">
        <v>259</v>
      </c>
      <c r="L24" s="120" t="s">
        <v>227</v>
      </c>
      <c r="M24" s="122">
        <v>45974.0</v>
      </c>
      <c r="N24" s="120" t="s">
        <v>258</v>
      </c>
      <c r="O24" s="123"/>
      <c r="P24" s="57"/>
      <c r="Q24" s="124"/>
      <c r="R24" s="10"/>
      <c r="S24" s="10"/>
      <c r="T24" s="10"/>
      <c r="U24" s="10"/>
      <c r="V24" s="10"/>
      <c r="W24" s="10"/>
      <c r="X24" s="10"/>
      <c r="Y24" s="10"/>
      <c r="Z24" s="10"/>
    </row>
    <row r="25" ht="12.75" customHeight="1" outlineLevel="1">
      <c r="A25" s="120" t="s">
        <v>319</v>
      </c>
      <c r="B25" s="120" t="s">
        <v>320</v>
      </c>
      <c r="C25" s="120" t="s">
        <v>316</v>
      </c>
      <c r="D25" s="121" t="s">
        <v>321</v>
      </c>
      <c r="E25" s="121" t="s">
        <v>318</v>
      </c>
      <c r="F25" s="120" t="s">
        <v>227</v>
      </c>
      <c r="G25" s="122">
        <v>45914.0</v>
      </c>
      <c r="H25" s="120" t="s">
        <v>258</v>
      </c>
      <c r="I25" s="120" t="s">
        <v>227</v>
      </c>
      <c r="J25" s="122">
        <v>45954.0</v>
      </c>
      <c r="K25" s="120" t="s">
        <v>259</v>
      </c>
      <c r="L25" s="120" t="s">
        <v>227</v>
      </c>
      <c r="M25" s="122">
        <v>45974.0</v>
      </c>
      <c r="N25" s="120" t="s">
        <v>258</v>
      </c>
      <c r="O25" s="123"/>
      <c r="P25" s="57"/>
      <c r="Q25" s="124"/>
      <c r="R25" s="10"/>
      <c r="S25" s="10"/>
      <c r="T25" s="10"/>
      <c r="U25" s="10"/>
      <c r="V25" s="10"/>
      <c r="W25" s="10"/>
      <c r="X25" s="10"/>
      <c r="Y25" s="10"/>
      <c r="Z25" s="10"/>
    </row>
    <row r="26" ht="15.75" customHeight="1">
      <c r="A26" s="116" t="s">
        <v>322</v>
      </c>
      <c r="B26" s="117"/>
      <c r="C26" s="117"/>
      <c r="D26" s="117"/>
      <c r="E26" s="117"/>
      <c r="F26" s="116"/>
      <c r="G26" s="117"/>
      <c r="H26" s="117"/>
      <c r="I26" s="116"/>
      <c r="J26" s="117"/>
      <c r="K26" s="117"/>
      <c r="L26" s="117"/>
      <c r="M26" s="117"/>
      <c r="N26" s="117"/>
      <c r="O26" s="117"/>
      <c r="P26" s="118"/>
      <c r="Q26" s="119"/>
      <c r="R26" s="97"/>
      <c r="S26" s="97"/>
      <c r="T26" s="97"/>
      <c r="U26" s="97"/>
      <c r="V26" s="97"/>
      <c r="W26" s="97"/>
      <c r="X26" s="97"/>
      <c r="Y26" s="97"/>
      <c r="Z26" s="97"/>
    </row>
    <row r="27" ht="12.75" customHeight="1" outlineLevel="1">
      <c r="A27" s="120" t="s">
        <v>323</v>
      </c>
      <c r="B27" s="120" t="s">
        <v>324</v>
      </c>
      <c r="C27" s="120" t="s">
        <v>325</v>
      </c>
      <c r="D27" s="120" t="s">
        <v>326</v>
      </c>
      <c r="E27" s="120" t="s">
        <v>327</v>
      </c>
      <c r="F27" s="120" t="s">
        <v>227</v>
      </c>
      <c r="G27" s="122">
        <v>45915.0</v>
      </c>
      <c r="H27" s="120" t="s">
        <v>258</v>
      </c>
      <c r="I27" s="120" t="s">
        <v>227</v>
      </c>
      <c r="J27" s="122">
        <v>45954.0</v>
      </c>
      <c r="K27" s="120" t="s">
        <v>259</v>
      </c>
      <c r="L27" s="120" t="s">
        <v>227</v>
      </c>
      <c r="M27" s="122">
        <v>45974.0</v>
      </c>
      <c r="N27" s="120" t="s">
        <v>258</v>
      </c>
      <c r="O27" s="123"/>
      <c r="P27" s="57"/>
      <c r="Q27" s="124"/>
      <c r="R27" s="10"/>
      <c r="S27" s="10"/>
      <c r="T27" s="10"/>
      <c r="U27" s="10"/>
      <c r="V27" s="10"/>
      <c r="W27" s="10"/>
      <c r="X27" s="10"/>
      <c r="Y27" s="10"/>
      <c r="Z27" s="10"/>
    </row>
    <row r="28" ht="12.75" customHeight="1" outlineLevel="1">
      <c r="A28" s="120" t="s">
        <v>328</v>
      </c>
      <c r="B28" s="120" t="s">
        <v>329</v>
      </c>
      <c r="C28" s="120" t="s">
        <v>330</v>
      </c>
      <c r="D28" s="120" t="s">
        <v>331</v>
      </c>
      <c r="E28" s="120" t="s">
        <v>332</v>
      </c>
      <c r="F28" s="120" t="s">
        <v>230</v>
      </c>
      <c r="G28" s="122">
        <v>45915.0</v>
      </c>
      <c r="H28" s="120" t="s">
        <v>258</v>
      </c>
      <c r="I28" s="120" t="s">
        <v>230</v>
      </c>
      <c r="J28" s="122">
        <v>45954.0</v>
      </c>
      <c r="K28" s="120" t="s">
        <v>259</v>
      </c>
      <c r="L28" s="120" t="s">
        <v>230</v>
      </c>
      <c r="M28" s="122">
        <v>45974.0</v>
      </c>
      <c r="N28" s="120" t="s">
        <v>258</v>
      </c>
      <c r="O28" s="123"/>
      <c r="P28" s="57"/>
      <c r="Q28" s="124"/>
      <c r="R28" s="10"/>
      <c r="S28" s="10"/>
      <c r="T28" s="10"/>
      <c r="U28" s="10"/>
      <c r="V28" s="10"/>
      <c r="W28" s="10"/>
      <c r="X28" s="10"/>
      <c r="Y28" s="10"/>
      <c r="Z28" s="10"/>
    </row>
    <row r="29" ht="12.75" customHeight="1" outlineLevel="1">
      <c r="A29" s="120" t="s">
        <v>328</v>
      </c>
      <c r="B29" s="120" t="s">
        <v>333</v>
      </c>
      <c r="C29" s="120" t="s">
        <v>334</v>
      </c>
      <c r="D29" s="120" t="s">
        <v>335</v>
      </c>
      <c r="E29" s="120" t="s">
        <v>336</v>
      </c>
      <c r="F29" s="120" t="s">
        <v>227</v>
      </c>
      <c r="G29" s="122">
        <v>45915.0</v>
      </c>
      <c r="H29" s="120" t="s">
        <v>258</v>
      </c>
      <c r="I29" s="120" t="s">
        <v>227</v>
      </c>
      <c r="J29" s="122">
        <v>45954.0</v>
      </c>
      <c r="K29" s="120" t="s">
        <v>259</v>
      </c>
      <c r="L29" s="120" t="s">
        <v>227</v>
      </c>
      <c r="M29" s="122">
        <v>45974.0</v>
      </c>
      <c r="N29" s="120" t="s">
        <v>258</v>
      </c>
      <c r="O29" s="123"/>
      <c r="P29" s="57"/>
      <c r="Q29" s="124"/>
      <c r="R29" s="10"/>
      <c r="S29" s="10"/>
      <c r="T29" s="10"/>
      <c r="U29" s="10"/>
      <c r="V29" s="10"/>
      <c r="W29" s="10"/>
      <c r="X29" s="10"/>
      <c r="Y29" s="10"/>
      <c r="Z29" s="10"/>
    </row>
    <row r="30" ht="12.75" customHeight="1" outlineLevel="1">
      <c r="A30" s="120" t="s">
        <v>337</v>
      </c>
      <c r="B30" s="120" t="s">
        <v>338</v>
      </c>
      <c r="C30" s="120" t="s">
        <v>339</v>
      </c>
      <c r="D30" s="120" t="s">
        <v>340</v>
      </c>
      <c r="E30" s="120" t="s">
        <v>284</v>
      </c>
      <c r="F30" s="120" t="s">
        <v>227</v>
      </c>
      <c r="G30" s="122">
        <v>45915.0</v>
      </c>
      <c r="H30" s="120" t="s">
        <v>258</v>
      </c>
      <c r="I30" s="120" t="s">
        <v>227</v>
      </c>
      <c r="J30" s="122">
        <v>45954.0</v>
      </c>
      <c r="K30" s="120" t="s">
        <v>259</v>
      </c>
      <c r="L30" s="120" t="s">
        <v>227</v>
      </c>
      <c r="M30" s="122">
        <v>45974.0</v>
      </c>
      <c r="N30" s="120" t="s">
        <v>258</v>
      </c>
      <c r="O30" s="123"/>
      <c r="P30" s="57"/>
      <c r="Q30" s="124"/>
      <c r="R30" s="10"/>
      <c r="S30" s="10"/>
      <c r="T30" s="10"/>
      <c r="U30" s="10"/>
      <c r="V30" s="10"/>
      <c r="W30" s="10"/>
      <c r="X30" s="10"/>
      <c r="Y30" s="10"/>
      <c r="Z30" s="10"/>
    </row>
    <row r="31" ht="12.75" customHeight="1" outlineLevel="1">
      <c r="A31" s="120" t="s">
        <v>341</v>
      </c>
      <c r="B31" s="120" t="s">
        <v>342</v>
      </c>
      <c r="C31" s="120" t="s">
        <v>343</v>
      </c>
      <c r="D31" s="120" t="s">
        <v>344</v>
      </c>
      <c r="E31" s="120" t="s">
        <v>284</v>
      </c>
      <c r="F31" s="120" t="s">
        <v>227</v>
      </c>
      <c r="G31" s="122">
        <v>45915.0</v>
      </c>
      <c r="H31" s="120" t="s">
        <v>258</v>
      </c>
      <c r="I31" s="120" t="s">
        <v>227</v>
      </c>
      <c r="J31" s="122">
        <v>45954.0</v>
      </c>
      <c r="K31" s="120" t="s">
        <v>259</v>
      </c>
      <c r="L31" s="120" t="s">
        <v>227</v>
      </c>
      <c r="M31" s="122">
        <v>45974.0</v>
      </c>
      <c r="N31" s="120" t="s">
        <v>258</v>
      </c>
      <c r="O31" s="123"/>
      <c r="P31" s="57"/>
      <c r="Q31" s="124"/>
      <c r="R31" s="10"/>
      <c r="S31" s="10"/>
      <c r="T31" s="10"/>
      <c r="U31" s="10"/>
      <c r="V31" s="10"/>
      <c r="W31" s="10"/>
      <c r="X31" s="10"/>
      <c r="Y31" s="10"/>
      <c r="Z31" s="10"/>
    </row>
    <row r="32" ht="12.75" customHeight="1" outlineLevel="1">
      <c r="A32" s="120" t="s">
        <v>345</v>
      </c>
      <c r="B32" s="120" t="s">
        <v>346</v>
      </c>
      <c r="C32" s="120" t="s">
        <v>347</v>
      </c>
      <c r="D32" s="120" t="s">
        <v>348</v>
      </c>
      <c r="E32" s="120" t="s">
        <v>284</v>
      </c>
      <c r="F32" s="120" t="s">
        <v>228</v>
      </c>
      <c r="G32" s="122">
        <v>45915.0</v>
      </c>
      <c r="H32" s="120" t="s">
        <v>258</v>
      </c>
      <c r="I32" s="120" t="s">
        <v>227</v>
      </c>
      <c r="J32" s="122">
        <v>45954.0</v>
      </c>
      <c r="K32" s="120" t="s">
        <v>259</v>
      </c>
      <c r="L32" s="120" t="s">
        <v>227</v>
      </c>
      <c r="M32" s="122">
        <v>45974.0</v>
      </c>
      <c r="N32" s="120" t="s">
        <v>258</v>
      </c>
      <c r="O32" s="120" t="s">
        <v>349</v>
      </c>
      <c r="P32" s="57"/>
      <c r="Q32" s="124"/>
      <c r="R32" s="10"/>
      <c r="S32" s="10"/>
      <c r="T32" s="10"/>
      <c r="U32" s="10"/>
      <c r="V32" s="10"/>
      <c r="W32" s="10"/>
      <c r="X32" s="10"/>
      <c r="Y32" s="10"/>
      <c r="Z32" s="10"/>
    </row>
    <row r="33" ht="12.75" customHeight="1" outlineLevel="1">
      <c r="A33" s="120" t="s">
        <v>350</v>
      </c>
      <c r="B33" s="120" t="s">
        <v>351</v>
      </c>
      <c r="C33" s="120" t="s">
        <v>352</v>
      </c>
      <c r="D33" s="120" t="s">
        <v>353</v>
      </c>
      <c r="E33" s="120" t="s">
        <v>284</v>
      </c>
      <c r="F33" s="120" t="s">
        <v>228</v>
      </c>
      <c r="G33" s="122">
        <v>45915.0</v>
      </c>
      <c r="H33" s="120" t="s">
        <v>258</v>
      </c>
      <c r="I33" s="120" t="s">
        <v>227</v>
      </c>
      <c r="J33" s="122">
        <v>45954.0</v>
      </c>
      <c r="K33" s="120" t="s">
        <v>259</v>
      </c>
      <c r="L33" s="120" t="s">
        <v>227</v>
      </c>
      <c r="M33" s="122">
        <v>45974.0</v>
      </c>
      <c r="N33" s="120" t="s">
        <v>258</v>
      </c>
      <c r="O33" s="120" t="s">
        <v>354</v>
      </c>
      <c r="P33" s="57"/>
      <c r="Q33" s="124"/>
      <c r="R33" s="10"/>
      <c r="S33" s="10"/>
      <c r="T33" s="10"/>
      <c r="U33" s="10"/>
      <c r="V33" s="10"/>
      <c r="W33" s="10"/>
      <c r="X33" s="10"/>
      <c r="Y33" s="10"/>
      <c r="Z33" s="10"/>
    </row>
    <row r="34" ht="12.75" customHeight="1" outlineLevel="1">
      <c r="A34" s="120" t="s">
        <v>355</v>
      </c>
      <c r="B34" s="120" t="s">
        <v>356</v>
      </c>
      <c r="C34" s="120" t="s">
        <v>357</v>
      </c>
      <c r="D34" s="120" t="s">
        <v>358</v>
      </c>
      <c r="E34" s="120" t="s">
        <v>359</v>
      </c>
      <c r="F34" s="120" t="s">
        <v>228</v>
      </c>
      <c r="G34" s="122">
        <v>45915.0</v>
      </c>
      <c r="H34" s="120" t="s">
        <v>258</v>
      </c>
      <c r="I34" s="120" t="s">
        <v>227</v>
      </c>
      <c r="J34" s="122">
        <v>45954.0</v>
      </c>
      <c r="K34" s="120" t="s">
        <v>259</v>
      </c>
      <c r="L34" s="120" t="s">
        <v>227</v>
      </c>
      <c r="M34" s="122">
        <v>45974.0</v>
      </c>
      <c r="N34" s="120" t="s">
        <v>258</v>
      </c>
      <c r="O34" s="120" t="s">
        <v>360</v>
      </c>
      <c r="P34" s="57"/>
      <c r="Q34" s="124"/>
      <c r="R34" s="10"/>
      <c r="S34" s="10"/>
      <c r="T34" s="10"/>
      <c r="U34" s="10"/>
      <c r="V34" s="10"/>
      <c r="W34" s="10"/>
      <c r="X34" s="10"/>
      <c r="Y34" s="10"/>
      <c r="Z34" s="10"/>
    </row>
    <row r="35" ht="12.75" customHeight="1" outlineLevel="1">
      <c r="A35" s="120" t="s">
        <v>361</v>
      </c>
      <c r="B35" s="120" t="s">
        <v>362</v>
      </c>
      <c r="C35" s="120" t="s">
        <v>363</v>
      </c>
      <c r="D35" s="120" t="s">
        <v>364</v>
      </c>
      <c r="E35" s="120" t="s">
        <v>359</v>
      </c>
      <c r="F35" s="120" t="s">
        <v>228</v>
      </c>
      <c r="G35" s="122">
        <v>45915.0</v>
      </c>
      <c r="H35" s="120" t="s">
        <v>258</v>
      </c>
      <c r="I35" s="120" t="s">
        <v>227</v>
      </c>
      <c r="J35" s="122">
        <v>45954.0</v>
      </c>
      <c r="K35" s="120" t="s">
        <v>259</v>
      </c>
      <c r="L35" s="120" t="s">
        <v>227</v>
      </c>
      <c r="M35" s="122">
        <v>45974.0</v>
      </c>
      <c r="N35" s="120" t="s">
        <v>258</v>
      </c>
      <c r="O35" s="120" t="s">
        <v>365</v>
      </c>
      <c r="P35" s="57"/>
      <c r="Q35" s="124"/>
      <c r="R35" s="10"/>
      <c r="S35" s="10"/>
      <c r="T35" s="10"/>
      <c r="U35" s="10"/>
      <c r="V35" s="10"/>
      <c r="W35" s="10"/>
      <c r="X35" s="10"/>
      <c r="Y35" s="10"/>
      <c r="Z35" s="10"/>
    </row>
    <row r="36" ht="12.75" customHeight="1" outlineLevel="1">
      <c r="A36" s="120" t="s">
        <v>366</v>
      </c>
      <c r="B36" s="120" t="s">
        <v>367</v>
      </c>
      <c r="C36" s="120" t="s">
        <v>368</v>
      </c>
      <c r="D36" s="120" t="s">
        <v>369</v>
      </c>
      <c r="E36" s="120" t="s">
        <v>294</v>
      </c>
      <c r="F36" s="120" t="s">
        <v>228</v>
      </c>
      <c r="G36" s="122">
        <v>45915.0</v>
      </c>
      <c r="H36" s="120" t="s">
        <v>258</v>
      </c>
      <c r="I36" s="120" t="s">
        <v>227</v>
      </c>
      <c r="J36" s="122">
        <v>45954.0</v>
      </c>
      <c r="K36" s="120" t="s">
        <v>259</v>
      </c>
      <c r="L36" s="120" t="s">
        <v>227</v>
      </c>
      <c r="M36" s="122">
        <v>45974.0</v>
      </c>
      <c r="N36" s="120" t="s">
        <v>258</v>
      </c>
      <c r="O36" s="120" t="s">
        <v>370</v>
      </c>
      <c r="P36" s="57"/>
      <c r="Q36" s="124"/>
      <c r="R36" s="10"/>
      <c r="S36" s="10"/>
      <c r="T36" s="10"/>
      <c r="U36" s="10"/>
      <c r="V36" s="10"/>
      <c r="W36" s="10"/>
      <c r="X36" s="10"/>
      <c r="Y36" s="10"/>
      <c r="Z36" s="10"/>
    </row>
    <row r="37" ht="12.75" customHeight="1" outlineLevel="1">
      <c r="A37" s="120" t="s">
        <v>371</v>
      </c>
      <c r="B37" s="120" t="s">
        <v>372</v>
      </c>
      <c r="C37" s="120" t="s">
        <v>373</v>
      </c>
      <c r="D37" s="120" t="s">
        <v>374</v>
      </c>
      <c r="E37" s="120" t="s">
        <v>300</v>
      </c>
      <c r="F37" s="120" t="s">
        <v>227</v>
      </c>
      <c r="G37" s="122">
        <v>45915.0</v>
      </c>
      <c r="H37" s="120" t="s">
        <v>258</v>
      </c>
      <c r="I37" s="120" t="s">
        <v>227</v>
      </c>
      <c r="J37" s="122">
        <v>45954.0</v>
      </c>
      <c r="K37" s="120" t="s">
        <v>259</v>
      </c>
      <c r="L37" s="120" t="s">
        <v>227</v>
      </c>
      <c r="M37" s="122">
        <v>45974.0</v>
      </c>
      <c r="N37" s="120" t="s">
        <v>258</v>
      </c>
      <c r="O37" s="123"/>
      <c r="P37" s="57"/>
      <c r="Q37" s="124"/>
      <c r="R37" s="10"/>
      <c r="S37" s="10"/>
      <c r="T37" s="10"/>
      <c r="U37" s="10"/>
      <c r="V37" s="10"/>
      <c r="W37" s="10"/>
      <c r="X37" s="10"/>
      <c r="Y37" s="10"/>
      <c r="Z37" s="10"/>
    </row>
    <row r="38" ht="12.75" customHeight="1" outlineLevel="1">
      <c r="A38" s="120" t="s">
        <v>375</v>
      </c>
      <c r="B38" s="120" t="s">
        <v>376</v>
      </c>
      <c r="C38" s="120" t="s">
        <v>377</v>
      </c>
      <c r="D38" s="120" t="s">
        <v>378</v>
      </c>
      <c r="E38" s="120" t="s">
        <v>284</v>
      </c>
      <c r="F38" s="120" t="s">
        <v>227</v>
      </c>
      <c r="G38" s="122">
        <v>45915.0</v>
      </c>
      <c r="H38" s="120" t="s">
        <v>258</v>
      </c>
      <c r="I38" s="120" t="s">
        <v>227</v>
      </c>
      <c r="J38" s="122">
        <v>45954.0</v>
      </c>
      <c r="K38" s="120" t="s">
        <v>259</v>
      </c>
      <c r="L38" s="120" t="s">
        <v>227</v>
      </c>
      <c r="M38" s="122">
        <v>45974.0</v>
      </c>
      <c r="N38" s="120" t="s">
        <v>258</v>
      </c>
      <c r="O38" s="123"/>
      <c r="P38" s="57"/>
      <c r="Q38" s="124"/>
      <c r="R38" s="10"/>
      <c r="S38" s="10"/>
      <c r="T38" s="10"/>
      <c r="U38" s="10"/>
      <c r="V38" s="10"/>
      <c r="W38" s="10"/>
      <c r="X38" s="10"/>
      <c r="Y38" s="10"/>
      <c r="Z38" s="10"/>
    </row>
    <row r="39" ht="12.75" customHeight="1" outlineLevel="1">
      <c r="A39" s="120" t="s">
        <v>379</v>
      </c>
      <c r="B39" s="120" t="s">
        <v>380</v>
      </c>
      <c r="C39" s="120" t="s">
        <v>381</v>
      </c>
      <c r="D39" s="120" t="s">
        <v>382</v>
      </c>
      <c r="E39" s="120" t="s">
        <v>284</v>
      </c>
      <c r="F39" s="120" t="s">
        <v>227</v>
      </c>
      <c r="G39" s="122">
        <v>45915.0</v>
      </c>
      <c r="H39" s="120" t="s">
        <v>258</v>
      </c>
      <c r="I39" s="120" t="s">
        <v>227</v>
      </c>
      <c r="J39" s="122">
        <v>45954.0</v>
      </c>
      <c r="K39" s="120" t="s">
        <v>259</v>
      </c>
      <c r="L39" s="120" t="s">
        <v>227</v>
      </c>
      <c r="M39" s="122">
        <v>45974.0</v>
      </c>
      <c r="N39" s="120" t="s">
        <v>258</v>
      </c>
      <c r="O39" s="123"/>
      <c r="P39" s="57"/>
      <c r="Q39" s="124"/>
      <c r="R39" s="10"/>
      <c r="S39" s="10"/>
      <c r="T39" s="10"/>
      <c r="U39" s="10"/>
      <c r="V39" s="10"/>
      <c r="W39" s="10"/>
      <c r="X39" s="10"/>
      <c r="Y39" s="10"/>
      <c r="Z39" s="10"/>
    </row>
    <row r="40" ht="12.75" customHeight="1" outlineLevel="1">
      <c r="A40" s="120" t="s">
        <v>383</v>
      </c>
      <c r="B40" s="120" t="s">
        <v>384</v>
      </c>
      <c r="C40" s="120" t="s">
        <v>385</v>
      </c>
      <c r="D40" s="120" t="s">
        <v>386</v>
      </c>
      <c r="E40" s="120" t="s">
        <v>387</v>
      </c>
      <c r="F40" s="120" t="s">
        <v>227</v>
      </c>
      <c r="G40" s="122">
        <v>45915.0</v>
      </c>
      <c r="H40" s="120" t="s">
        <v>258</v>
      </c>
      <c r="I40" s="120" t="s">
        <v>227</v>
      </c>
      <c r="J40" s="122">
        <v>45954.0</v>
      </c>
      <c r="K40" s="120" t="s">
        <v>259</v>
      </c>
      <c r="L40" s="120" t="s">
        <v>230</v>
      </c>
      <c r="M40" s="122">
        <v>45974.0</v>
      </c>
      <c r="N40" s="120" t="s">
        <v>258</v>
      </c>
      <c r="O40" s="123"/>
      <c r="P40" s="57"/>
      <c r="Q40" s="124"/>
      <c r="R40" s="10"/>
      <c r="S40" s="10"/>
      <c r="T40" s="10"/>
      <c r="U40" s="10"/>
      <c r="V40" s="10"/>
      <c r="W40" s="10"/>
      <c r="X40" s="10"/>
      <c r="Y40" s="10"/>
      <c r="Z40" s="10"/>
    </row>
    <row r="41" ht="12.75" customHeight="1" outlineLevel="1">
      <c r="A41" s="120" t="s">
        <v>388</v>
      </c>
      <c r="B41" s="120" t="s">
        <v>389</v>
      </c>
      <c r="C41" s="120" t="s">
        <v>390</v>
      </c>
      <c r="D41" s="120" t="s">
        <v>391</v>
      </c>
      <c r="E41" s="120" t="s">
        <v>359</v>
      </c>
      <c r="F41" s="120" t="s">
        <v>227</v>
      </c>
      <c r="G41" s="122">
        <v>45915.0</v>
      </c>
      <c r="H41" s="120" t="s">
        <v>258</v>
      </c>
      <c r="I41" s="120" t="s">
        <v>227</v>
      </c>
      <c r="J41" s="122">
        <v>45954.0</v>
      </c>
      <c r="K41" s="120" t="s">
        <v>259</v>
      </c>
      <c r="L41" s="120" t="s">
        <v>227</v>
      </c>
      <c r="M41" s="122">
        <v>45974.0</v>
      </c>
      <c r="N41" s="120" t="s">
        <v>258</v>
      </c>
      <c r="O41" s="123"/>
      <c r="P41" s="57"/>
      <c r="Q41" s="124"/>
      <c r="R41" s="10"/>
      <c r="S41" s="10"/>
      <c r="T41" s="10"/>
      <c r="U41" s="10"/>
      <c r="V41" s="10"/>
      <c r="W41" s="10"/>
      <c r="X41" s="10"/>
      <c r="Y41" s="10"/>
      <c r="Z41" s="10"/>
    </row>
    <row r="42" ht="12.75" customHeight="1" outlineLevel="1">
      <c r="A42" s="120" t="s">
        <v>392</v>
      </c>
      <c r="B42" s="120" t="s">
        <v>393</v>
      </c>
      <c r="C42" s="120" t="s">
        <v>394</v>
      </c>
      <c r="D42" s="120" t="s">
        <v>395</v>
      </c>
      <c r="E42" s="120" t="s">
        <v>284</v>
      </c>
      <c r="F42" s="120" t="s">
        <v>228</v>
      </c>
      <c r="G42" s="122">
        <v>45915.0</v>
      </c>
      <c r="H42" s="120" t="s">
        <v>258</v>
      </c>
      <c r="I42" s="120" t="s">
        <v>227</v>
      </c>
      <c r="J42" s="122">
        <v>45954.0</v>
      </c>
      <c r="K42" s="120" t="s">
        <v>259</v>
      </c>
      <c r="L42" s="120" t="s">
        <v>227</v>
      </c>
      <c r="M42" s="122">
        <v>45974.0</v>
      </c>
      <c r="N42" s="120" t="s">
        <v>258</v>
      </c>
      <c r="O42" s="120" t="s">
        <v>396</v>
      </c>
      <c r="P42" s="57"/>
      <c r="Q42" s="124"/>
      <c r="R42" s="10"/>
      <c r="S42" s="10"/>
      <c r="T42" s="10"/>
      <c r="U42" s="10"/>
      <c r="V42" s="10"/>
      <c r="W42" s="10"/>
      <c r="X42" s="10"/>
      <c r="Y42" s="10"/>
      <c r="Z42" s="10"/>
    </row>
    <row r="43" ht="12.75" customHeight="1" outlineLevel="1">
      <c r="A43" s="120" t="s">
        <v>397</v>
      </c>
      <c r="B43" s="120" t="s">
        <v>398</v>
      </c>
      <c r="C43" s="120" t="s">
        <v>399</v>
      </c>
      <c r="D43" s="120" t="s">
        <v>400</v>
      </c>
      <c r="E43" s="120" t="s">
        <v>305</v>
      </c>
      <c r="F43" s="120" t="s">
        <v>227</v>
      </c>
      <c r="G43" s="122">
        <v>45915.0</v>
      </c>
      <c r="H43" s="120" t="s">
        <v>258</v>
      </c>
      <c r="I43" s="120" t="s">
        <v>227</v>
      </c>
      <c r="J43" s="122">
        <v>45954.0</v>
      </c>
      <c r="K43" s="120" t="s">
        <v>259</v>
      </c>
      <c r="L43" s="120" t="s">
        <v>227</v>
      </c>
      <c r="M43" s="122">
        <v>45974.0</v>
      </c>
      <c r="N43" s="120" t="s">
        <v>258</v>
      </c>
      <c r="O43" s="123"/>
      <c r="P43" s="57"/>
      <c r="Q43" s="124"/>
      <c r="R43" s="10"/>
      <c r="S43" s="10"/>
      <c r="T43" s="10"/>
      <c r="U43" s="10"/>
      <c r="V43" s="10"/>
      <c r="W43" s="10"/>
      <c r="X43" s="10"/>
      <c r="Y43" s="10"/>
      <c r="Z43" s="10"/>
    </row>
    <row r="44" ht="12.75" customHeight="1" outlineLevel="1">
      <c r="A44" s="120" t="s">
        <v>401</v>
      </c>
      <c r="B44" s="120" t="s">
        <v>402</v>
      </c>
      <c r="C44" s="120" t="s">
        <v>403</v>
      </c>
      <c r="D44" s="120" t="s">
        <v>404</v>
      </c>
      <c r="E44" s="120" t="s">
        <v>284</v>
      </c>
      <c r="F44" s="120" t="s">
        <v>228</v>
      </c>
      <c r="G44" s="122">
        <v>45915.0</v>
      </c>
      <c r="H44" s="120" t="s">
        <v>258</v>
      </c>
      <c r="I44" s="120" t="s">
        <v>227</v>
      </c>
      <c r="J44" s="122">
        <v>45954.0</v>
      </c>
      <c r="K44" s="120" t="s">
        <v>259</v>
      </c>
      <c r="L44" s="120" t="s">
        <v>227</v>
      </c>
      <c r="M44" s="122">
        <v>45974.0</v>
      </c>
      <c r="N44" s="120" t="s">
        <v>258</v>
      </c>
      <c r="O44" s="120" t="s">
        <v>405</v>
      </c>
      <c r="P44" s="57"/>
      <c r="Q44" s="124"/>
      <c r="R44" s="10"/>
      <c r="S44" s="10"/>
      <c r="T44" s="10"/>
      <c r="U44" s="10"/>
      <c r="V44" s="10"/>
      <c r="W44" s="10"/>
      <c r="X44" s="10"/>
      <c r="Y44" s="10"/>
      <c r="Z44" s="10"/>
    </row>
    <row r="45" ht="12.75" customHeight="1">
      <c r="A45" s="120" t="s">
        <v>406</v>
      </c>
      <c r="B45" s="120" t="s">
        <v>407</v>
      </c>
      <c r="C45" s="120" t="s">
        <v>408</v>
      </c>
      <c r="D45" s="120" t="s">
        <v>409</v>
      </c>
      <c r="E45" s="120" t="s">
        <v>410</v>
      </c>
      <c r="F45" s="120" t="s">
        <v>227</v>
      </c>
      <c r="G45" s="122">
        <v>45915.0</v>
      </c>
      <c r="H45" s="120" t="s">
        <v>258</v>
      </c>
      <c r="I45" s="120" t="s">
        <v>227</v>
      </c>
      <c r="J45" s="122">
        <v>45954.0</v>
      </c>
      <c r="K45" s="120" t="s">
        <v>259</v>
      </c>
      <c r="L45" s="120" t="s">
        <v>227</v>
      </c>
      <c r="M45" s="122">
        <v>45974.0</v>
      </c>
      <c r="N45" s="120" t="s">
        <v>258</v>
      </c>
      <c r="O45" s="120"/>
      <c r="P45" s="57"/>
      <c r="Q45" s="89"/>
      <c r="R45" s="10"/>
      <c r="S45" s="10"/>
      <c r="T45" s="10"/>
      <c r="U45" s="10"/>
      <c r="V45" s="10"/>
      <c r="W45" s="10"/>
      <c r="X45" s="10"/>
      <c r="Y45" s="10"/>
      <c r="Z45" s="10"/>
    </row>
    <row r="46" ht="12.75" customHeight="1">
      <c r="A46" s="120" t="s">
        <v>411</v>
      </c>
      <c r="B46" s="120" t="s">
        <v>412</v>
      </c>
      <c r="C46" s="120" t="s">
        <v>413</v>
      </c>
      <c r="D46" s="120" t="s">
        <v>414</v>
      </c>
      <c r="E46" s="120" t="s">
        <v>415</v>
      </c>
      <c r="F46" s="120" t="s">
        <v>227</v>
      </c>
      <c r="G46" s="122">
        <v>45915.0</v>
      </c>
      <c r="H46" s="120" t="s">
        <v>258</v>
      </c>
      <c r="I46" s="120" t="s">
        <v>227</v>
      </c>
      <c r="J46" s="122">
        <v>45954.0</v>
      </c>
      <c r="K46" s="120" t="s">
        <v>259</v>
      </c>
      <c r="L46" s="120" t="s">
        <v>227</v>
      </c>
      <c r="M46" s="122">
        <v>45974.0</v>
      </c>
      <c r="N46" s="120" t="s">
        <v>258</v>
      </c>
      <c r="O46" s="120"/>
      <c r="P46" s="57"/>
      <c r="Q46" s="89"/>
      <c r="R46" s="10"/>
      <c r="S46" s="10"/>
      <c r="T46" s="10"/>
      <c r="U46" s="10"/>
      <c r="V46" s="10"/>
      <c r="W46" s="10"/>
      <c r="X46" s="10"/>
      <c r="Y46" s="10"/>
      <c r="Z46" s="10"/>
    </row>
    <row r="47" ht="12.75" customHeight="1">
      <c r="A47" s="120" t="s">
        <v>416</v>
      </c>
      <c r="B47" s="120" t="s">
        <v>417</v>
      </c>
      <c r="C47" s="120" t="s">
        <v>418</v>
      </c>
      <c r="D47" s="120" t="s">
        <v>419</v>
      </c>
      <c r="E47" s="120" t="s">
        <v>420</v>
      </c>
      <c r="F47" s="120" t="s">
        <v>227</v>
      </c>
      <c r="G47" s="122">
        <v>45915.0</v>
      </c>
      <c r="H47" s="120" t="s">
        <v>258</v>
      </c>
      <c r="I47" s="120" t="s">
        <v>227</v>
      </c>
      <c r="J47" s="122">
        <v>45954.0</v>
      </c>
      <c r="K47" s="120" t="s">
        <v>259</v>
      </c>
      <c r="L47" s="120" t="s">
        <v>227</v>
      </c>
      <c r="M47" s="122">
        <v>45974.0</v>
      </c>
      <c r="N47" s="120" t="s">
        <v>258</v>
      </c>
      <c r="O47" s="120"/>
      <c r="P47" s="57"/>
      <c r="Q47" s="89"/>
      <c r="R47" s="10"/>
      <c r="S47" s="10"/>
      <c r="T47" s="10"/>
      <c r="U47" s="10"/>
      <c r="V47" s="10"/>
      <c r="W47" s="10"/>
      <c r="X47" s="10"/>
      <c r="Y47" s="10"/>
      <c r="Z47" s="10"/>
    </row>
    <row r="48" ht="12.75" customHeight="1">
      <c r="A48" s="120" t="s">
        <v>421</v>
      </c>
      <c r="B48" s="120" t="s">
        <v>422</v>
      </c>
      <c r="C48" s="120" t="s">
        <v>423</v>
      </c>
      <c r="D48" s="120" t="s">
        <v>424</v>
      </c>
      <c r="E48" s="120" t="s">
        <v>425</v>
      </c>
      <c r="F48" s="120" t="s">
        <v>227</v>
      </c>
      <c r="G48" s="122">
        <v>45915.0</v>
      </c>
      <c r="H48" s="120" t="s">
        <v>258</v>
      </c>
      <c r="I48" s="120" t="s">
        <v>227</v>
      </c>
      <c r="J48" s="122">
        <v>45954.0</v>
      </c>
      <c r="K48" s="120" t="s">
        <v>259</v>
      </c>
      <c r="L48" s="120" t="s">
        <v>227</v>
      </c>
      <c r="M48" s="122">
        <v>45974.0</v>
      </c>
      <c r="N48" s="120" t="s">
        <v>258</v>
      </c>
      <c r="O48" s="120"/>
      <c r="P48" s="57"/>
      <c r="Q48" s="89"/>
      <c r="R48" s="10"/>
      <c r="S48" s="10"/>
      <c r="T48" s="10"/>
      <c r="U48" s="10"/>
      <c r="V48" s="10"/>
      <c r="W48" s="10"/>
      <c r="X48" s="10"/>
      <c r="Y48" s="10"/>
      <c r="Z48" s="10"/>
    </row>
    <row r="49" ht="12.75" customHeight="1">
      <c r="A49" s="120" t="s">
        <v>426</v>
      </c>
      <c r="B49" s="120" t="s">
        <v>427</v>
      </c>
      <c r="C49" s="120" t="s">
        <v>428</v>
      </c>
      <c r="D49" s="120" t="s">
        <v>429</v>
      </c>
      <c r="E49" s="120" t="s">
        <v>430</v>
      </c>
      <c r="F49" s="120" t="s">
        <v>227</v>
      </c>
      <c r="G49" s="122">
        <v>45915.0</v>
      </c>
      <c r="H49" s="120" t="s">
        <v>258</v>
      </c>
      <c r="I49" s="120" t="s">
        <v>227</v>
      </c>
      <c r="J49" s="122">
        <v>45954.0</v>
      </c>
      <c r="K49" s="120" t="s">
        <v>259</v>
      </c>
      <c r="L49" s="120" t="s">
        <v>227</v>
      </c>
      <c r="M49" s="122">
        <v>45974.0</v>
      </c>
      <c r="N49" s="120" t="s">
        <v>258</v>
      </c>
      <c r="O49" s="120"/>
      <c r="P49" s="57"/>
      <c r="Q49" s="89"/>
      <c r="R49" s="10"/>
      <c r="S49" s="10"/>
      <c r="T49" s="10"/>
      <c r="U49" s="10"/>
      <c r="V49" s="10"/>
      <c r="W49" s="10"/>
      <c r="X49" s="10"/>
      <c r="Y49" s="10"/>
      <c r="Z49" s="10"/>
    </row>
    <row r="50" ht="12.75" customHeight="1">
      <c r="A50" s="120" t="s">
        <v>431</v>
      </c>
      <c r="B50" s="120" t="s">
        <v>432</v>
      </c>
      <c r="C50" s="120" t="s">
        <v>433</v>
      </c>
      <c r="D50" s="120" t="s">
        <v>434</v>
      </c>
      <c r="E50" s="120" t="s">
        <v>435</v>
      </c>
      <c r="F50" s="120" t="s">
        <v>227</v>
      </c>
      <c r="G50" s="122">
        <v>45915.0</v>
      </c>
      <c r="H50" s="120" t="s">
        <v>258</v>
      </c>
      <c r="I50" s="120" t="s">
        <v>227</v>
      </c>
      <c r="J50" s="122">
        <v>45954.0</v>
      </c>
      <c r="K50" s="120" t="s">
        <v>259</v>
      </c>
      <c r="L50" s="120" t="s">
        <v>227</v>
      </c>
      <c r="M50" s="122">
        <v>45974.0</v>
      </c>
      <c r="N50" s="120" t="s">
        <v>258</v>
      </c>
      <c r="O50" s="120"/>
      <c r="P50" s="57"/>
      <c r="Q50" s="89"/>
      <c r="R50" s="10"/>
      <c r="S50" s="10"/>
      <c r="T50" s="10"/>
      <c r="U50" s="10"/>
      <c r="V50" s="10"/>
      <c r="W50" s="10"/>
      <c r="X50" s="10"/>
      <c r="Y50" s="10"/>
      <c r="Z50" s="10"/>
    </row>
    <row r="51" ht="12.75" customHeight="1">
      <c r="A51" s="120" t="s">
        <v>436</v>
      </c>
      <c r="B51" s="120" t="s">
        <v>437</v>
      </c>
      <c r="C51" s="120" t="s">
        <v>438</v>
      </c>
      <c r="D51" s="120" t="s">
        <v>439</v>
      </c>
      <c r="E51" s="120" t="s">
        <v>440</v>
      </c>
      <c r="F51" s="120" t="s">
        <v>227</v>
      </c>
      <c r="G51" s="122"/>
      <c r="H51" s="120"/>
      <c r="I51" s="120" t="s">
        <v>227</v>
      </c>
      <c r="J51" s="122">
        <v>45954.0</v>
      </c>
      <c r="K51" s="120" t="s">
        <v>259</v>
      </c>
      <c r="L51" s="120" t="s">
        <v>227</v>
      </c>
      <c r="M51" s="122">
        <v>45974.0</v>
      </c>
      <c r="N51" s="120" t="s">
        <v>258</v>
      </c>
      <c r="O51" s="120"/>
      <c r="P51" s="57"/>
      <c r="Q51" s="89"/>
      <c r="R51" s="10"/>
      <c r="S51" s="10"/>
      <c r="T51" s="10"/>
      <c r="U51" s="10"/>
      <c r="V51" s="10"/>
      <c r="W51" s="10"/>
      <c r="X51" s="10"/>
      <c r="Y51" s="10"/>
      <c r="Z51" s="10"/>
    </row>
    <row r="52" ht="12.75" customHeight="1">
      <c r="A52" s="120" t="s">
        <v>441</v>
      </c>
      <c r="B52" s="120" t="s">
        <v>442</v>
      </c>
      <c r="C52" s="120" t="s">
        <v>443</v>
      </c>
      <c r="D52" s="120" t="s">
        <v>444</v>
      </c>
      <c r="E52" s="120" t="s">
        <v>289</v>
      </c>
      <c r="F52" s="120" t="s">
        <v>227</v>
      </c>
      <c r="G52" s="122"/>
      <c r="H52" s="120"/>
      <c r="I52" s="120" t="s">
        <v>227</v>
      </c>
      <c r="J52" s="122">
        <v>45954.0</v>
      </c>
      <c r="K52" s="120" t="s">
        <v>259</v>
      </c>
      <c r="L52" s="120" t="s">
        <v>227</v>
      </c>
      <c r="M52" s="122">
        <v>45974.0</v>
      </c>
      <c r="N52" s="120" t="s">
        <v>258</v>
      </c>
      <c r="O52" s="120"/>
      <c r="P52" s="57"/>
      <c r="Q52" s="89"/>
      <c r="R52" s="10"/>
      <c r="S52" s="10"/>
      <c r="T52" s="10"/>
      <c r="U52" s="10"/>
      <c r="V52" s="10"/>
      <c r="W52" s="10"/>
      <c r="X52" s="10"/>
      <c r="Y52" s="10"/>
      <c r="Z52" s="10"/>
    </row>
    <row r="53" ht="12.75" customHeight="1">
      <c r="A53" s="120" t="s">
        <v>445</v>
      </c>
      <c r="B53" s="120" t="s">
        <v>446</v>
      </c>
      <c r="C53" s="120" t="s">
        <v>447</v>
      </c>
      <c r="D53" s="120" t="s">
        <v>448</v>
      </c>
      <c r="E53" s="120" t="s">
        <v>294</v>
      </c>
      <c r="F53" s="120" t="s">
        <v>227</v>
      </c>
      <c r="G53" s="122">
        <v>45915.0</v>
      </c>
      <c r="H53" s="120" t="s">
        <v>258</v>
      </c>
      <c r="I53" s="120" t="s">
        <v>227</v>
      </c>
      <c r="J53" s="122">
        <v>45954.0</v>
      </c>
      <c r="K53" s="120" t="s">
        <v>259</v>
      </c>
      <c r="L53" s="120" t="s">
        <v>227</v>
      </c>
      <c r="M53" s="122">
        <v>45974.0</v>
      </c>
      <c r="N53" s="120" t="s">
        <v>258</v>
      </c>
      <c r="O53" s="120"/>
      <c r="P53" s="57"/>
      <c r="Q53" s="89"/>
      <c r="R53" s="10"/>
      <c r="S53" s="10"/>
      <c r="T53" s="10"/>
      <c r="U53" s="10"/>
      <c r="V53" s="10"/>
      <c r="W53" s="10"/>
      <c r="X53" s="10"/>
      <c r="Y53" s="10"/>
      <c r="Z53" s="10"/>
    </row>
    <row r="54" ht="12.75" customHeight="1">
      <c r="A54" s="120" t="s">
        <v>449</v>
      </c>
      <c r="B54" s="120" t="s">
        <v>450</v>
      </c>
      <c r="C54" s="120" t="s">
        <v>451</v>
      </c>
      <c r="D54" s="120" t="s">
        <v>452</v>
      </c>
      <c r="E54" s="120" t="s">
        <v>284</v>
      </c>
      <c r="F54" s="120" t="s">
        <v>228</v>
      </c>
      <c r="G54" s="122">
        <v>45915.0</v>
      </c>
      <c r="H54" s="120" t="s">
        <v>258</v>
      </c>
      <c r="I54" s="120" t="s">
        <v>227</v>
      </c>
      <c r="J54" s="122">
        <v>45954.0</v>
      </c>
      <c r="K54" s="120" t="s">
        <v>259</v>
      </c>
      <c r="L54" s="120" t="s">
        <v>227</v>
      </c>
      <c r="M54" s="122">
        <v>45974.0</v>
      </c>
      <c r="N54" s="120" t="s">
        <v>258</v>
      </c>
      <c r="O54" s="120"/>
      <c r="P54" s="57"/>
      <c r="Q54" s="89"/>
      <c r="R54" s="10"/>
      <c r="S54" s="10"/>
      <c r="T54" s="10"/>
      <c r="U54" s="10"/>
      <c r="V54" s="10"/>
      <c r="W54" s="10"/>
      <c r="X54" s="10"/>
      <c r="Y54" s="10"/>
      <c r="Z54" s="10"/>
    </row>
    <row r="55" ht="12.75" customHeight="1">
      <c r="A55" s="120" t="s">
        <v>453</v>
      </c>
      <c r="B55" s="120" t="s">
        <v>454</v>
      </c>
      <c r="C55" s="120" t="s">
        <v>455</v>
      </c>
      <c r="D55" s="120" t="s">
        <v>456</v>
      </c>
      <c r="E55" s="120" t="s">
        <v>457</v>
      </c>
      <c r="F55" s="120" t="s">
        <v>228</v>
      </c>
      <c r="G55" s="122">
        <v>45915.0</v>
      </c>
      <c r="H55" s="120" t="s">
        <v>258</v>
      </c>
      <c r="I55" s="120" t="s">
        <v>227</v>
      </c>
      <c r="J55" s="122">
        <v>45954.0</v>
      </c>
      <c r="K55" s="120" t="s">
        <v>259</v>
      </c>
      <c r="L55" s="120" t="s">
        <v>227</v>
      </c>
      <c r="M55" s="122">
        <v>45974.0</v>
      </c>
      <c r="N55" s="120" t="s">
        <v>258</v>
      </c>
      <c r="O55" s="120"/>
      <c r="P55" s="57"/>
      <c r="Q55" s="89"/>
      <c r="R55" s="10"/>
      <c r="S55" s="10"/>
      <c r="T55" s="10"/>
      <c r="U55" s="10"/>
      <c r="V55" s="10"/>
      <c r="W55" s="10"/>
      <c r="X55" s="10"/>
      <c r="Y55" s="10"/>
      <c r="Z55" s="10"/>
    </row>
    <row r="56" ht="12.75" customHeight="1">
      <c r="A56" s="120" t="s">
        <v>458</v>
      </c>
      <c r="B56" s="120" t="s">
        <v>459</v>
      </c>
      <c r="C56" s="120" t="s">
        <v>460</v>
      </c>
      <c r="D56" s="120" t="s">
        <v>461</v>
      </c>
      <c r="E56" s="120" t="s">
        <v>462</v>
      </c>
      <c r="F56" s="120" t="s">
        <v>227</v>
      </c>
      <c r="G56" s="122">
        <v>45915.0</v>
      </c>
      <c r="H56" s="120" t="s">
        <v>258</v>
      </c>
      <c r="I56" s="120" t="s">
        <v>227</v>
      </c>
      <c r="J56" s="122">
        <v>45954.0</v>
      </c>
      <c r="K56" s="120" t="s">
        <v>259</v>
      </c>
      <c r="L56" s="120" t="s">
        <v>227</v>
      </c>
      <c r="M56" s="122">
        <v>45974.0</v>
      </c>
      <c r="N56" s="120" t="s">
        <v>258</v>
      </c>
      <c r="O56" s="120"/>
      <c r="P56" s="57"/>
      <c r="Q56" s="89"/>
      <c r="R56" s="10"/>
      <c r="S56" s="10"/>
      <c r="T56" s="10"/>
      <c r="U56" s="10"/>
      <c r="V56" s="10"/>
      <c r="W56" s="10"/>
      <c r="X56" s="10"/>
      <c r="Y56" s="10"/>
      <c r="Z56" s="10"/>
    </row>
    <row r="57" ht="12.75" customHeight="1">
      <c r="A57" s="120" t="s">
        <v>463</v>
      </c>
      <c r="B57" s="120" t="s">
        <v>464</v>
      </c>
      <c r="C57" s="120" t="s">
        <v>465</v>
      </c>
      <c r="D57" s="120" t="s">
        <v>466</v>
      </c>
      <c r="E57" s="120" t="s">
        <v>305</v>
      </c>
      <c r="F57" s="120" t="s">
        <v>227</v>
      </c>
      <c r="G57" s="122">
        <v>45915.0</v>
      </c>
      <c r="H57" s="120" t="s">
        <v>258</v>
      </c>
      <c r="I57" s="120" t="s">
        <v>227</v>
      </c>
      <c r="J57" s="122">
        <v>45954.0</v>
      </c>
      <c r="K57" s="120" t="s">
        <v>259</v>
      </c>
      <c r="L57" s="120" t="s">
        <v>227</v>
      </c>
      <c r="M57" s="122">
        <v>45974.0</v>
      </c>
      <c r="N57" s="120" t="s">
        <v>258</v>
      </c>
      <c r="O57" s="120"/>
      <c r="P57" s="57"/>
      <c r="Q57" s="89"/>
      <c r="R57" s="10"/>
      <c r="S57" s="10"/>
      <c r="T57" s="10"/>
      <c r="U57" s="10"/>
      <c r="V57" s="10"/>
      <c r="W57" s="10"/>
      <c r="X57" s="10"/>
      <c r="Y57" s="10"/>
      <c r="Z57" s="10"/>
    </row>
    <row r="58" ht="12.75" customHeight="1">
      <c r="A58" s="120" t="s">
        <v>467</v>
      </c>
      <c r="B58" s="120" t="s">
        <v>468</v>
      </c>
      <c r="C58" s="120" t="s">
        <v>469</v>
      </c>
      <c r="D58" s="120" t="s">
        <v>470</v>
      </c>
      <c r="E58" s="120" t="s">
        <v>300</v>
      </c>
      <c r="F58" s="120" t="s">
        <v>227</v>
      </c>
      <c r="G58" s="122">
        <v>45915.0</v>
      </c>
      <c r="H58" s="120" t="s">
        <v>258</v>
      </c>
      <c r="I58" s="120" t="s">
        <v>227</v>
      </c>
      <c r="J58" s="122">
        <v>45954.0</v>
      </c>
      <c r="K58" s="120" t="s">
        <v>259</v>
      </c>
      <c r="L58" s="120" t="s">
        <v>227</v>
      </c>
      <c r="M58" s="122">
        <v>45974.0</v>
      </c>
      <c r="N58" s="120" t="s">
        <v>258</v>
      </c>
      <c r="O58" s="120"/>
      <c r="P58" s="57"/>
      <c r="Q58" s="89"/>
      <c r="R58" s="10"/>
      <c r="S58" s="10"/>
      <c r="T58" s="10"/>
      <c r="U58" s="10"/>
      <c r="V58" s="10"/>
      <c r="W58" s="10"/>
      <c r="X58" s="10"/>
      <c r="Y58" s="10"/>
      <c r="Z58" s="10"/>
    </row>
    <row r="59" ht="12.75" customHeight="1">
      <c r="A59" s="120" t="s">
        <v>471</v>
      </c>
      <c r="B59" s="120" t="s">
        <v>472</v>
      </c>
      <c r="C59" s="120" t="s">
        <v>473</v>
      </c>
      <c r="D59" s="120" t="s">
        <v>474</v>
      </c>
      <c r="E59" s="120" t="s">
        <v>475</v>
      </c>
      <c r="F59" s="120" t="s">
        <v>228</v>
      </c>
      <c r="G59" s="122">
        <v>45915.0</v>
      </c>
      <c r="H59" s="120" t="s">
        <v>258</v>
      </c>
      <c r="I59" s="120" t="s">
        <v>227</v>
      </c>
      <c r="J59" s="122">
        <v>45954.0</v>
      </c>
      <c r="K59" s="120" t="s">
        <v>259</v>
      </c>
      <c r="L59" s="120" t="s">
        <v>227</v>
      </c>
      <c r="M59" s="122">
        <v>45974.0</v>
      </c>
      <c r="N59" s="120" t="s">
        <v>258</v>
      </c>
      <c r="O59" s="120"/>
      <c r="P59" s="57"/>
      <c r="Q59" s="89"/>
      <c r="R59" s="10"/>
      <c r="S59" s="10"/>
      <c r="T59" s="10"/>
      <c r="U59" s="10"/>
      <c r="V59" s="10"/>
      <c r="W59" s="10"/>
      <c r="X59" s="10"/>
      <c r="Y59" s="10"/>
      <c r="Z59" s="10"/>
    </row>
    <row r="60" ht="12.75" customHeight="1">
      <c r="A60" s="116" t="s">
        <v>476</v>
      </c>
      <c r="B60" s="117"/>
      <c r="C60" s="117"/>
      <c r="D60" s="117"/>
      <c r="E60" s="117"/>
      <c r="F60" s="117"/>
      <c r="G60" s="117"/>
      <c r="H60" s="117"/>
      <c r="I60" s="117"/>
      <c r="J60" s="117"/>
      <c r="K60" s="117"/>
      <c r="L60" s="117"/>
      <c r="M60" s="117"/>
      <c r="N60" s="117"/>
      <c r="O60" s="117"/>
      <c r="P60" s="57"/>
      <c r="Q60" s="89"/>
      <c r="R60" s="10"/>
      <c r="S60" s="10"/>
      <c r="T60" s="10"/>
      <c r="U60" s="10"/>
      <c r="V60" s="10"/>
      <c r="W60" s="10"/>
      <c r="X60" s="10"/>
      <c r="Y60" s="10"/>
      <c r="Z60" s="10"/>
    </row>
    <row r="61" ht="146.25" customHeight="1">
      <c r="A61" s="120" t="s">
        <v>477</v>
      </c>
      <c r="B61" s="120" t="s">
        <v>478</v>
      </c>
      <c r="C61" s="120" t="s">
        <v>479</v>
      </c>
      <c r="D61" s="120" t="s">
        <v>480</v>
      </c>
      <c r="E61" s="120" t="s">
        <v>481</v>
      </c>
      <c r="F61" s="120" t="s">
        <v>227</v>
      </c>
      <c r="G61" s="122">
        <v>45915.0</v>
      </c>
      <c r="H61" s="120" t="s">
        <v>258</v>
      </c>
      <c r="I61" s="120" t="s">
        <v>227</v>
      </c>
      <c r="J61" s="122">
        <v>45954.0</v>
      </c>
      <c r="K61" s="120" t="s">
        <v>259</v>
      </c>
      <c r="L61" s="120" t="s">
        <v>227</v>
      </c>
      <c r="M61" s="122">
        <v>45974.0</v>
      </c>
      <c r="N61" s="120" t="s">
        <v>258</v>
      </c>
      <c r="O61" s="120"/>
      <c r="P61" s="57"/>
      <c r="Q61" s="89"/>
      <c r="R61" s="10"/>
      <c r="S61" s="10"/>
      <c r="T61" s="10"/>
      <c r="U61" s="10"/>
      <c r="V61" s="10"/>
      <c r="W61" s="10"/>
      <c r="X61" s="10"/>
      <c r="Y61" s="10"/>
      <c r="Z61" s="10"/>
    </row>
    <row r="62" ht="104.25" customHeight="1">
      <c r="A62" s="120" t="s">
        <v>482</v>
      </c>
      <c r="B62" s="120" t="s">
        <v>483</v>
      </c>
      <c r="C62" s="120" t="s">
        <v>484</v>
      </c>
      <c r="D62" s="120" t="s">
        <v>485</v>
      </c>
      <c r="E62" s="120" t="s">
        <v>486</v>
      </c>
      <c r="F62" s="120" t="s">
        <v>227</v>
      </c>
      <c r="G62" s="122">
        <v>45915.0</v>
      </c>
      <c r="H62" s="120" t="s">
        <v>258</v>
      </c>
      <c r="I62" s="120" t="s">
        <v>227</v>
      </c>
      <c r="J62" s="122">
        <v>45954.0</v>
      </c>
      <c r="K62" s="120" t="s">
        <v>259</v>
      </c>
      <c r="L62" s="120" t="s">
        <v>227</v>
      </c>
      <c r="M62" s="122">
        <v>45974.0</v>
      </c>
      <c r="N62" s="120" t="s">
        <v>258</v>
      </c>
      <c r="O62" s="120"/>
      <c r="P62" s="57"/>
      <c r="Q62" s="89"/>
      <c r="R62" s="10"/>
      <c r="S62" s="10"/>
      <c r="T62" s="10"/>
      <c r="U62" s="10"/>
      <c r="V62" s="10"/>
      <c r="W62" s="10"/>
      <c r="X62" s="10"/>
      <c r="Y62" s="10"/>
      <c r="Z62" s="10"/>
    </row>
    <row r="63" ht="111.75" customHeight="1">
      <c r="A63" s="120" t="s">
        <v>487</v>
      </c>
      <c r="B63" s="120" t="s">
        <v>488</v>
      </c>
      <c r="C63" s="120" t="s">
        <v>489</v>
      </c>
      <c r="D63" s="120" t="s">
        <v>490</v>
      </c>
      <c r="E63" s="120" t="s">
        <v>491</v>
      </c>
      <c r="F63" s="120" t="s">
        <v>227</v>
      </c>
      <c r="G63" s="122">
        <v>45915.0</v>
      </c>
      <c r="H63" s="120" t="s">
        <v>258</v>
      </c>
      <c r="I63" s="120" t="s">
        <v>227</v>
      </c>
      <c r="J63" s="122">
        <v>45954.0</v>
      </c>
      <c r="K63" s="120" t="s">
        <v>259</v>
      </c>
      <c r="L63" s="120" t="s">
        <v>227</v>
      </c>
      <c r="M63" s="122">
        <v>45974.0</v>
      </c>
      <c r="N63" s="120" t="s">
        <v>258</v>
      </c>
      <c r="O63" s="120"/>
      <c r="P63" s="57"/>
      <c r="Q63" s="89"/>
      <c r="R63" s="10"/>
      <c r="S63" s="10"/>
      <c r="T63" s="10"/>
      <c r="U63" s="10"/>
      <c r="V63" s="10"/>
      <c r="W63" s="10"/>
      <c r="X63" s="10"/>
      <c r="Y63" s="10"/>
      <c r="Z63" s="10"/>
    </row>
    <row r="64" ht="107.25" customHeight="1">
      <c r="A64" s="120" t="s">
        <v>492</v>
      </c>
      <c r="B64" s="120" t="s">
        <v>493</v>
      </c>
      <c r="C64" s="120" t="s">
        <v>494</v>
      </c>
      <c r="D64" s="120" t="s">
        <v>495</v>
      </c>
      <c r="E64" s="120" t="s">
        <v>496</v>
      </c>
      <c r="F64" s="120" t="s">
        <v>227</v>
      </c>
      <c r="G64" s="122">
        <v>45915.0</v>
      </c>
      <c r="H64" s="120" t="s">
        <v>258</v>
      </c>
      <c r="I64" s="120" t="s">
        <v>227</v>
      </c>
      <c r="J64" s="122">
        <v>45954.0</v>
      </c>
      <c r="K64" s="120" t="s">
        <v>259</v>
      </c>
      <c r="L64" s="120" t="s">
        <v>227</v>
      </c>
      <c r="M64" s="122">
        <v>45974.0</v>
      </c>
      <c r="N64" s="120" t="s">
        <v>258</v>
      </c>
      <c r="O64" s="120"/>
      <c r="P64" s="57"/>
      <c r="Q64" s="89"/>
      <c r="R64" s="10"/>
      <c r="S64" s="10"/>
      <c r="T64" s="10"/>
      <c r="U64" s="10"/>
      <c r="V64" s="10"/>
      <c r="W64" s="10"/>
      <c r="X64" s="10"/>
      <c r="Y64" s="10"/>
      <c r="Z64" s="10"/>
    </row>
    <row r="65" ht="109.5" customHeight="1">
      <c r="A65" s="120" t="s">
        <v>497</v>
      </c>
      <c r="B65" s="120" t="s">
        <v>498</v>
      </c>
      <c r="C65" s="120" t="s">
        <v>499</v>
      </c>
      <c r="D65" s="120" t="s">
        <v>500</v>
      </c>
      <c r="E65" s="120" t="s">
        <v>496</v>
      </c>
      <c r="F65" s="120" t="s">
        <v>227</v>
      </c>
      <c r="G65" s="122">
        <v>45915.0</v>
      </c>
      <c r="H65" s="120" t="s">
        <v>258</v>
      </c>
      <c r="I65" s="120" t="s">
        <v>227</v>
      </c>
      <c r="J65" s="122">
        <v>45954.0</v>
      </c>
      <c r="K65" s="120" t="s">
        <v>259</v>
      </c>
      <c r="L65" s="120" t="s">
        <v>227</v>
      </c>
      <c r="M65" s="122">
        <v>45974.0</v>
      </c>
      <c r="N65" s="120" t="s">
        <v>258</v>
      </c>
      <c r="O65" s="120"/>
      <c r="P65" s="57"/>
      <c r="Q65" s="89"/>
      <c r="R65" s="10"/>
      <c r="S65" s="10"/>
      <c r="T65" s="10"/>
      <c r="U65" s="10"/>
      <c r="V65" s="10"/>
      <c r="W65" s="10"/>
      <c r="X65" s="10"/>
      <c r="Y65" s="10"/>
      <c r="Z65" s="10"/>
    </row>
    <row r="66" ht="108.0" customHeight="1">
      <c r="A66" s="120" t="s">
        <v>501</v>
      </c>
      <c r="B66" s="120" t="s">
        <v>502</v>
      </c>
      <c r="C66" s="120" t="s">
        <v>503</v>
      </c>
      <c r="D66" s="120" t="s">
        <v>504</v>
      </c>
      <c r="E66" s="120" t="s">
        <v>496</v>
      </c>
      <c r="F66" s="120" t="s">
        <v>227</v>
      </c>
      <c r="G66" s="122">
        <v>45915.0</v>
      </c>
      <c r="H66" s="120" t="s">
        <v>258</v>
      </c>
      <c r="I66" s="120" t="s">
        <v>227</v>
      </c>
      <c r="J66" s="122">
        <v>45954.0</v>
      </c>
      <c r="K66" s="120" t="s">
        <v>259</v>
      </c>
      <c r="L66" s="120" t="s">
        <v>227</v>
      </c>
      <c r="M66" s="122">
        <v>45974.0</v>
      </c>
      <c r="N66" s="120" t="s">
        <v>258</v>
      </c>
      <c r="O66" s="120"/>
      <c r="P66" s="57"/>
      <c r="Q66" s="89"/>
      <c r="R66" s="10"/>
      <c r="S66" s="10"/>
      <c r="T66" s="10"/>
      <c r="U66" s="10"/>
      <c r="V66" s="10"/>
      <c r="W66" s="10"/>
      <c r="X66" s="10"/>
      <c r="Y66" s="10"/>
      <c r="Z66" s="10"/>
    </row>
    <row r="67" ht="118.5" customHeight="1">
      <c r="A67" s="120" t="s">
        <v>505</v>
      </c>
      <c r="B67" s="120" t="s">
        <v>506</v>
      </c>
      <c r="C67" s="120" t="s">
        <v>507</v>
      </c>
      <c r="D67" s="120" t="s">
        <v>508</v>
      </c>
      <c r="E67" s="120" t="s">
        <v>496</v>
      </c>
      <c r="F67" s="120" t="s">
        <v>227</v>
      </c>
      <c r="G67" s="122">
        <v>45915.0</v>
      </c>
      <c r="H67" s="120" t="s">
        <v>258</v>
      </c>
      <c r="I67" s="120" t="s">
        <v>227</v>
      </c>
      <c r="J67" s="122">
        <v>45954.0</v>
      </c>
      <c r="K67" s="120" t="s">
        <v>259</v>
      </c>
      <c r="L67" s="120" t="s">
        <v>227</v>
      </c>
      <c r="M67" s="122">
        <v>45974.0</v>
      </c>
      <c r="N67" s="120" t="s">
        <v>258</v>
      </c>
      <c r="O67" s="120"/>
      <c r="P67" s="57"/>
      <c r="Q67" s="89"/>
      <c r="R67" s="10"/>
      <c r="S67" s="10"/>
      <c r="T67" s="10"/>
      <c r="U67" s="10"/>
      <c r="V67" s="10"/>
      <c r="W67" s="10"/>
      <c r="X67" s="10"/>
      <c r="Y67" s="10"/>
      <c r="Z67" s="10"/>
    </row>
    <row r="68" ht="118.5" customHeight="1">
      <c r="A68" s="120" t="s">
        <v>509</v>
      </c>
      <c r="B68" s="120" t="s">
        <v>510</v>
      </c>
      <c r="C68" s="120" t="s">
        <v>511</v>
      </c>
      <c r="D68" s="120" t="s">
        <v>512</v>
      </c>
      <c r="E68" s="120" t="s">
        <v>496</v>
      </c>
      <c r="F68" s="120" t="s">
        <v>227</v>
      </c>
      <c r="G68" s="122">
        <v>45915.0</v>
      </c>
      <c r="H68" s="120" t="s">
        <v>258</v>
      </c>
      <c r="I68" s="120" t="s">
        <v>227</v>
      </c>
      <c r="J68" s="122">
        <v>45954.0</v>
      </c>
      <c r="K68" s="120" t="s">
        <v>259</v>
      </c>
      <c r="L68" s="120" t="s">
        <v>227</v>
      </c>
      <c r="M68" s="122">
        <v>45974.0</v>
      </c>
      <c r="N68" s="120" t="s">
        <v>258</v>
      </c>
      <c r="O68" s="120"/>
      <c r="P68" s="57"/>
      <c r="Q68" s="89"/>
      <c r="R68" s="10"/>
      <c r="S68" s="10"/>
      <c r="T68" s="10"/>
      <c r="U68" s="10"/>
      <c r="V68" s="10"/>
      <c r="W68" s="10"/>
      <c r="X68" s="10"/>
      <c r="Y68" s="10"/>
      <c r="Z68" s="10"/>
    </row>
    <row r="69" ht="118.5" customHeight="1">
      <c r="A69" s="120" t="s">
        <v>513</v>
      </c>
      <c r="B69" s="120" t="s">
        <v>514</v>
      </c>
      <c r="C69" s="120" t="s">
        <v>515</v>
      </c>
      <c r="D69" s="120" t="s">
        <v>516</v>
      </c>
      <c r="E69" s="120" t="s">
        <v>496</v>
      </c>
      <c r="F69" s="120" t="s">
        <v>227</v>
      </c>
      <c r="G69" s="122">
        <v>45915.0</v>
      </c>
      <c r="H69" s="120" t="s">
        <v>258</v>
      </c>
      <c r="I69" s="120" t="s">
        <v>227</v>
      </c>
      <c r="J69" s="122">
        <v>45954.0</v>
      </c>
      <c r="K69" s="120" t="s">
        <v>259</v>
      </c>
      <c r="L69" s="120" t="s">
        <v>227</v>
      </c>
      <c r="M69" s="122">
        <v>45974.0</v>
      </c>
      <c r="N69" s="120" t="s">
        <v>258</v>
      </c>
      <c r="O69" s="120"/>
      <c r="P69" s="57"/>
      <c r="Q69" s="89"/>
      <c r="R69" s="10"/>
      <c r="S69" s="10"/>
      <c r="T69" s="10"/>
      <c r="U69" s="10"/>
      <c r="V69" s="10"/>
      <c r="W69" s="10"/>
      <c r="X69" s="10"/>
      <c r="Y69" s="10"/>
      <c r="Z69" s="10"/>
    </row>
    <row r="70" ht="133.5" customHeight="1">
      <c r="A70" s="120" t="s">
        <v>517</v>
      </c>
      <c r="B70" s="120" t="s">
        <v>518</v>
      </c>
      <c r="C70" s="120" t="s">
        <v>519</v>
      </c>
      <c r="D70" s="120" t="s">
        <v>520</v>
      </c>
      <c r="E70" s="120" t="s">
        <v>496</v>
      </c>
      <c r="F70" s="120" t="s">
        <v>227</v>
      </c>
      <c r="G70" s="122">
        <v>45915.0</v>
      </c>
      <c r="H70" s="120" t="s">
        <v>258</v>
      </c>
      <c r="I70" s="120" t="s">
        <v>227</v>
      </c>
      <c r="J70" s="122">
        <v>45954.0</v>
      </c>
      <c r="K70" s="120" t="s">
        <v>259</v>
      </c>
      <c r="L70" s="120" t="s">
        <v>227</v>
      </c>
      <c r="M70" s="122">
        <v>45974.0</v>
      </c>
      <c r="N70" s="120" t="s">
        <v>258</v>
      </c>
      <c r="O70" s="120"/>
      <c r="P70" s="57"/>
      <c r="Q70" s="89"/>
      <c r="R70" s="10"/>
      <c r="S70" s="10"/>
      <c r="T70" s="10"/>
      <c r="U70" s="10"/>
      <c r="V70" s="10"/>
      <c r="W70" s="10"/>
      <c r="X70" s="10"/>
      <c r="Y70" s="10"/>
      <c r="Z70" s="10"/>
    </row>
    <row r="71" ht="121.5" customHeight="1">
      <c r="A71" s="120" t="s">
        <v>521</v>
      </c>
      <c r="B71" s="120" t="s">
        <v>522</v>
      </c>
      <c r="C71" s="120" t="s">
        <v>519</v>
      </c>
      <c r="D71" s="120" t="s">
        <v>523</v>
      </c>
      <c r="E71" s="120" t="s">
        <v>524</v>
      </c>
      <c r="F71" s="120" t="s">
        <v>227</v>
      </c>
      <c r="G71" s="122">
        <v>45915.0</v>
      </c>
      <c r="H71" s="120" t="s">
        <v>258</v>
      </c>
      <c r="I71" s="120" t="s">
        <v>227</v>
      </c>
      <c r="J71" s="122">
        <v>45954.0</v>
      </c>
      <c r="K71" s="120" t="s">
        <v>259</v>
      </c>
      <c r="L71" s="120" t="s">
        <v>227</v>
      </c>
      <c r="M71" s="122">
        <v>45974.0</v>
      </c>
      <c r="N71" s="120" t="s">
        <v>258</v>
      </c>
      <c r="O71" s="120"/>
      <c r="P71" s="57"/>
      <c r="Q71" s="89"/>
      <c r="R71" s="10"/>
      <c r="S71" s="10"/>
      <c r="T71" s="10"/>
      <c r="U71" s="10"/>
      <c r="V71" s="10"/>
      <c r="W71" s="10"/>
      <c r="X71" s="10"/>
      <c r="Y71" s="10"/>
      <c r="Z71" s="10"/>
    </row>
    <row r="72" ht="120.0" customHeight="1">
      <c r="A72" s="120" t="s">
        <v>525</v>
      </c>
      <c r="B72" s="120" t="s">
        <v>526</v>
      </c>
      <c r="C72" s="120" t="s">
        <v>527</v>
      </c>
      <c r="D72" s="120" t="s">
        <v>528</v>
      </c>
      <c r="E72" s="120" t="s">
        <v>524</v>
      </c>
      <c r="F72" s="120" t="s">
        <v>227</v>
      </c>
      <c r="G72" s="122">
        <v>45915.0</v>
      </c>
      <c r="H72" s="120" t="s">
        <v>258</v>
      </c>
      <c r="I72" s="120" t="s">
        <v>227</v>
      </c>
      <c r="J72" s="122">
        <v>45954.0</v>
      </c>
      <c r="K72" s="120" t="s">
        <v>259</v>
      </c>
      <c r="L72" s="120" t="s">
        <v>227</v>
      </c>
      <c r="M72" s="122">
        <v>45974.0</v>
      </c>
      <c r="N72" s="120" t="s">
        <v>258</v>
      </c>
      <c r="O72" s="120"/>
      <c r="P72" s="57"/>
      <c r="Q72" s="89"/>
      <c r="R72" s="10"/>
      <c r="S72" s="10"/>
      <c r="T72" s="10"/>
      <c r="U72" s="10"/>
      <c r="V72" s="10"/>
      <c r="W72" s="10"/>
      <c r="X72" s="10"/>
      <c r="Y72" s="10"/>
      <c r="Z72" s="10"/>
    </row>
    <row r="73" ht="102.0" customHeight="1">
      <c r="A73" s="120" t="s">
        <v>529</v>
      </c>
      <c r="B73" s="120" t="s">
        <v>530</v>
      </c>
      <c r="C73" s="120" t="s">
        <v>531</v>
      </c>
      <c r="D73" s="120" t="s">
        <v>532</v>
      </c>
      <c r="E73" s="120" t="s">
        <v>481</v>
      </c>
      <c r="F73" s="120" t="s">
        <v>227</v>
      </c>
      <c r="G73" s="122">
        <v>45915.0</v>
      </c>
      <c r="H73" s="120" t="s">
        <v>258</v>
      </c>
      <c r="I73" s="120" t="s">
        <v>227</v>
      </c>
      <c r="J73" s="122">
        <v>45954.0</v>
      </c>
      <c r="K73" s="120" t="s">
        <v>259</v>
      </c>
      <c r="L73" s="120" t="s">
        <v>227</v>
      </c>
      <c r="M73" s="122">
        <v>45974.0</v>
      </c>
      <c r="N73" s="120" t="s">
        <v>258</v>
      </c>
      <c r="O73" s="120"/>
      <c r="P73" s="57"/>
      <c r="Q73" s="89"/>
      <c r="R73" s="10"/>
      <c r="S73" s="10"/>
      <c r="T73" s="10"/>
      <c r="U73" s="10"/>
      <c r="V73" s="10"/>
      <c r="W73" s="10"/>
      <c r="X73" s="10"/>
      <c r="Y73" s="10"/>
      <c r="Z73" s="10"/>
    </row>
    <row r="74" ht="125.25" customHeight="1">
      <c r="A74" s="120" t="s">
        <v>533</v>
      </c>
      <c r="B74" s="120" t="s">
        <v>534</v>
      </c>
      <c r="C74" s="120" t="s">
        <v>535</v>
      </c>
      <c r="D74" s="120" t="s">
        <v>536</v>
      </c>
      <c r="E74" s="120" t="s">
        <v>481</v>
      </c>
      <c r="F74" s="120" t="s">
        <v>227</v>
      </c>
      <c r="G74" s="122">
        <v>45915.0</v>
      </c>
      <c r="H74" s="120" t="s">
        <v>258</v>
      </c>
      <c r="I74" s="120" t="s">
        <v>227</v>
      </c>
      <c r="J74" s="122">
        <v>45954.0</v>
      </c>
      <c r="K74" s="120" t="s">
        <v>259</v>
      </c>
      <c r="L74" s="120" t="s">
        <v>227</v>
      </c>
      <c r="M74" s="122">
        <v>45974.0</v>
      </c>
      <c r="N74" s="120" t="s">
        <v>258</v>
      </c>
      <c r="O74" s="120"/>
      <c r="P74" s="57"/>
      <c r="Q74" s="89"/>
      <c r="R74" s="10"/>
      <c r="S74" s="10"/>
      <c r="T74" s="10"/>
      <c r="U74" s="10"/>
      <c r="V74" s="10"/>
      <c r="W74" s="10"/>
      <c r="X74" s="10"/>
      <c r="Y74" s="10"/>
      <c r="Z74" s="10"/>
    </row>
    <row r="75" ht="126.0" customHeight="1">
      <c r="A75" s="120" t="s">
        <v>537</v>
      </c>
      <c r="B75" s="120" t="s">
        <v>538</v>
      </c>
      <c r="C75" s="120" t="s">
        <v>539</v>
      </c>
      <c r="D75" s="120" t="s">
        <v>540</v>
      </c>
      <c r="E75" s="120" t="s">
        <v>541</v>
      </c>
      <c r="F75" s="120" t="s">
        <v>227</v>
      </c>
      <c r="G75" s="122">
        <v>45915.0</v>
      </c>
      <c r="H75" s="120" t="s">
        <v>258</v>
      </c>
      <c r="I75" s="120" t="s">
        <v>227</v>
      </c>
      <c r="J75" s="122">
        <v>45954.0</v>
      </c>
      <c r="K75" s="120" t="s">
        <v>259</v>
      </c>
      <c r="L75" s="120" t="s">
        <v>227</v>
      </c>
      <c r="M75" s="122">
        <v>45974.0</v>
      </c>
      <c r="N75" s="120" t="s">
        <v>258</v>
      </c>
      <c r="O75" s="120"/>
      <c r="P75" s="57"/>
      <c r="Q75" s="89"/>
      <c r="R75" s="10"/>
      <c r="S75" s="10"/>
      <c r="T75" s="10"/>
      <c r="U75" s="10"/>
      <c r="V75" s="10"/>
      <c r="W75" s="10"/>
      <c r="X75" s="10"/>
      <c r="Y75" s="10"/>
      <c r="Z75" s="10"/>
    </row>
    <row r="76" ht="120.0" customHeight="1">
      <c r="A76" s="120" t="s">
        <v>542</v>
      </c>
      <c r="B76" s="120" t="s">
        <v>543</v>
      </c>
      <c r="C76" s="120" t="s">
        <v>544</v>
      </c>
      <c r="D76" s="120" t="s">
        <v>545</v>
      </c>
      <c r="E76" s="120" t="s">
        <v>481</v>
      </c>
      <c r="F76" s="120" t="s">
        <v>227</v>
      </c>
      <c r="G76" s="122">
        <v>45915.0</v>
      </c>
      <c r="H76" s="120" t="s">
        <v>258</v>
      </c>
      <c r="I76" s="120" t="s">
        <v>227</v>
      </c>
      <c r="J76" s="122">
        <v>45954.0</v>
      </c>
      <c r="K76" s="120" t="s">
        <v>259</v>
      </c>
      <c r="L76" s="120" t="s">
        <v>227</v>
      </c>
      <c r="M76" s="122">
        <v>45974.0</v>
      </c>
      <c r="N76" s="120" t="s">
        <v>258</v>
      </c>
      <c r="O76" s="120"/>
      <c r="P76" s="57"/>
      <c r="Q76" s="89"/>
      <c r="R76" s="10"/>
      <c r="S76" s="10"/>
      <c r="T76" s="10"/>
      <c r="U76" s="10"/>
      <c r="V76" s="10"/>
      <c r="W76" s="10"/>
      <c r="X76" s="10"/>
      <c r="Y76" s="10"/>
      <c r="Z76" s="10"/>
    </row>
    <row r="77" ht="124.5" customHeight="1">
      <c r="A77" s="120" t="s">
        <v>546</v>
      </c>
      <c r="B77" s="120" t="s">
        <v>547</v>
      </c>
      <c r="C77" s="120" t="s">
        <v>548</v>
      </c>
      <c r="D77" s="120" t="s">
        <v>549</v>
      </c>
      <c r="E77" s="120" t="s">
        <v>481</v>
      </c>
      <c r="F77" s="120" t="s">
        <v>227</v>
      </c>
      <c r="G77" s="122">
        <v>45915.0</v>
      </c>
      <c r="H77" s="120" t="s">
        <v>258</v>
      </c>
      <c r="I77" s="120" t="s">
        <v>227</v>
      </c>
      <c r="J77" s="122">
        <v>45954.0</v>
      </c>
      <c r="K77" s="120" t="s">
        <v>259</v>
      </c>
      <c r="L77" s="120" t="s">
        <v>227</v>
      </c>
      <c r="M77" s="122">
        <v>45974.0</v>
      </c>
      <c r="N77" s="120" t="s">
        <v>258</v>
      </c>
      <c r="O77" s="120"/>
      <c r="P77" s="57"/>
      <c r="Q77" s="89"/>
      <c r="R77" s="10"/>
      <c r="S77" s="10"/>
      <c r="T77" s="10"/>
      <c r="U77" s="10"/>
      <c r="V77" s="10"/>
      <c r="W77" s="10"/>
      <c r="X77" s="10"/>
      <c r="Y77" s="10"/>
      <c r="Z77" s="10"/>
    </row>
    <row r="78" ht="135.75" customHeight="1">
      <c r="A78" s="120" t="s">
        <v>550</v>
      </c>
      <c r="B78" s="120" t="s">
        <v>551</v>
      </c>
      <c r="C78" s="120" t="s">
        <v>552</v>
      </c>
      <c r="D78" s="120" t="s">
        <v>553</v>
      </c>
      <c r="E78" s="120" t="s">
        <v>554</v>
      </c>
      <c r="F78" s="120" t="s">
        <v>227</v>
      </c>
      <c r="G78" s="122">
        <v>45915.0</v>
      </c>
      <c r="H78" s="120" t="s">
        <v>258</v>
      </c>
      <c r="I78" s="120" t="s">
        <v>227</v>
      </c>
      <c r="J78" s="122">
        <v>45954.0</v>
      </c>
      <c r="K78" s="120" t="s">
        <v>259</v>
      </c>
      <c r="L78" s="120" t="s">
        <v>227</v>
      </c>
      <c r="M78" s="122">
        <v>45974.0</v>
      </c>
      <c r="N78" s="120" t="s">
        <v>258</v>
      </c>
      <c r="O78" s="120"/>
      <c r="P78" s="57"/>
      <c r="Q78" s="89"/>
      <c r="R78" s="10"/>
      <c r="S78" s="10"/>
      <c r="T78" s="10"/>
      <c r="U78" s="10"/>
      <c r="V78" s="10"/>
      <c r="W78" s="10"/>
      <c r="X78" s="10"/>
      <c r="Y78" s="10"/>
      <c r="Z78" s="10"/>
    </row>
    <row r="79" ht="117.0" customHeight="1">
      <c r="A79" s="120" t="s">
        <v>555</v>
      </c>
      <c r="B79" s="120" t="s">
        <v>556</v>
      </c>
      <c r="C79" s="120" t="s">
        <v>557</v>
      </c>
      <c r="D79" s="120" t="s">
        <v>558</v>
      </c>
      <c r="E79" s="120" t="s">
        <v>481</v>
      </c>
      <c r="F79" s="120" t="s">
        <v>227</v>
      </c>
      <c r="G79" s="122">
        <v>45915.0</v>
      </c>
      <c r="H79" s="120" t="s">
        <v>258</v>
      </c>
      <c r="I79" s="120" t="s">
        <v>227</v>
      </c>
      <c r="J79" s="122">
        <v>45954.0</v>
      </c>
      <c r="K79" s="120" t="s">
        <v>259</v>
      </c>
      <c r="L79" s="120" t="s">
        <v>227</v>
      </c>
      <c r="M79" s="122">
        <v>45974.0</v>
      </c>
      <c r="N79" s="120" t="s">
        <v>258</v>
      </c>
      <c r="O79" s="120"/>
      <c r="P79" s="57"/>
      <c r="Q79" s="89"/>
      <c r="R79" s="10"/>
      <c r="S79" s="10"/>
      <c r="T79" s="10"/>
      <c r="U79" s="10"/>
      <c r="V79" s="10"/>
      <c r="W79" s="10"/>
      <c r="X79" s="10"/>
      <c r="Y79" s="10"/>
      <c r="Z79" s="10"/>
    </row>
    <row r="80" ht="130.5" customHeight="1">
      <c r="A80" s="120" t="s">
        <v>559</v>
      </c>
      <c r="B80" s="120" t="s">
        <v>560</v>
      </c>
      <c r="C80" s="120" t="s">
        <v>561</v>
      </c>
      <c r="D80" s="120" t="s">
        <v>562</v>
      </c>
      <c r="E80" s="120" t="s">
        <v>563</v>
      </c>
      <c r="F80" s="120" t="s">
        <v>227</v>
      </c>
      <c r="G80" s="122">
        <v>45915.0</v>
      </c>
      <c r="H80" s="120" t="s">
        <v>258</v>
      </c>
      <c r="I80" s="120" t="s">
        <v>227</v>
      </c>
      <c r="J80" s="122">
        <v>45954.0</v>
      </c>
      <c r="K80" s="120" t="s">
        <v>259</v>
      </c>
      <c r="L80" s="120" t="s">
        <v>227</v>
      </c>
      <c r="M80" s="122">
        <v>45974.0</v>
      </c>
      <c r="N80" s="120" t="s">
        <v>258</v>
      </c>
      <c r="O80" s="120"/>
      <c r="P80" s="57"/>
      <c r="Q80" s="89"/>
      <c r="R80" s="10"/>
      <c r="S80" s="10"/>
      <c r="T80" s="10"/>
      <c r="U80" s="10"/>
      <c r="V80" s="10"/>
      <c r="W80" s="10"/>
      <c r="X80" s="10"/>
      <c r="Y80" s="10"/>
      <c r="Z80" s="10"/>
    </row>
    <row r="81" ht="130.5" customHeight="1">
      <c r="A81" s="120" t="s">
        <v>564</v>
      </c>
      <c r="B81" s="120" t="s">
        <v>565</v>
      </c>
      <c r="C81" s="120" t="s">
        <v>566</v>
      </c>
      <c r="D81" s="120" t="s">
        <v>567</v>
      </c>
      <c r="E81" s="120" t="s">
        <v>563</v>
      </c>
      <c r="F81" s="120" t="s">
        <v>227</v>
      </c>
      <c r="G81" s="122">
        <v>45915.0</v>
      </c>
      <c r="H81" s="120" t="s">
        <v>258</v>
      </c>
      <c r="I81" s="120" t="s">
        <v>227</v>
      </c>
      <c r="J81" s="122">
        <v>45954.0</v>
      </c>
      <c r="K81" s="120" t="s">
        <v>259</v>
      </c>
      <c r="L81" s="120" t="s">
        <v>227</v>
      </c>
      <c r="M81" s="122">
        <v>45974.0</v>
      </c>
      <c r="N81" s="120" t="s">
        <v>258</v>
      </c>
      <c r="O81" s="120"/>
      <c r="P81" s="57"/>
      <c r="Q81" s="89"/>
      <c r="R81" s="10"/>
      <c r="S81" s="10"/>
      <c r="T81" s="10"/>
      <c r="U81" s="10"/>
      <c r="V81" s="10"/>
      <c r="W81" s="10"/>
      <c r="X81" s="10"/>
      <c r="Y81" s="10"/>
      <c r="Z81" s="10"/>
    </row>
    <row r="82" ht="130.5" customHeight="1">
      <c r="A82" s="120" t="s">
        <v>568</v>
      </c>
      <c r="B82" s="120" t="s">
        <v>569</v>
      </c>
      <c r="C82" s="120" t="s">
        <v>570</v>
      </c>
      <c r="D82" s="120" t="s">
        <v>571</v>
      </c>
      <c r="E82" s="120" t="s">
        <v>572</v>
      </c>
      <c r="F82" s="120" t="s">
        <v>227</v>
      </c>
      <c r="G82" s="122">
        <v>45915.0</v>
      </c>
      <c r="H82" s="120" t="s">
        <v>258</v>
      </c>
      <c r="I82" s="120" t="s">
        <v>227</v>
      </c>
      <c r="J82" s="122">
        <v>45954.0</v>
      </c>
      <c r="K82" s="120" t="s">
        <v>259</v>
      </c>
      <c r="L82" s="120" t="s">
        <v>227</v>
      </c>
      <c r="M82" s="122">
        <v>45974.0</v>
      </c>
      <c r="N82" s="120" t="s">
        <v>258</v>
      </c>
      <c r="O82" s="120"/>
      <c r="P82" s="57"/>
      <c r="Q82" s="89"/>
      <c r="R82" s="10"/>
      <c r="S82" s="10"/>
      <c r="T82" s="10"/>
      <c r="U82" s="10"/>
      <c r="V82" s="10"/>
      <c r="W82" s="10"/>
      <c r="X82" s="10"/>
      <c r="Y82" s="10"/>
      <c r="Z82" s="10"/>
    </row>
    <row r="83" ht="130.5" customHeight="1">
      <c r="A83" s="120" t="s">
        <v>573</v>
      </c>
      <c r="B83" s="120" t="s">
        <v>574</v>
      </c>
      <c r="C83" s="120" t="s">
        <v>575</v>
      </c>
      <c r="D83" s="120" t="s">
        <v>576</v>
      </c>
      <c r="E83" s="120" t="s">
        <v>577</v>
      </c>
      <c r="F83" s="120" t="s">
        <v>227</v>
      </c>
      <c r="G83" s="122">
        <v>45915.0</v>
      </c>
      <c r="H83" s="120" t="s">
        <v>258</v>
      </c>
      <c r="I83" s="120" t="s">
        <v>227</v>
      </c>
      <c r="J83" s="122">
        <v>45954.0</v>
      </c>
      <c r="K83" s="120" t="s">
        <v>259</v>
      </c>
      <c r="L83" s="120" t="s">
        <v>227</v>
      </c>
      <c r="M83" s="122">
        <v>45974.0</v>
      </c>
      <c r="N83" s="120" t="s">
        <v>258</v>
      </c>
      <c r="O83" s="120"/>
      <c r="P83" s="57"/>
      <c r="Q83" s="89"/>
      <c r="R83" s="10"/>
      <c r="S83" s="10"/>
      <c r="T83" s="10"/>
      <c r="U83" s="10"/>
      <c r="V83" s="10"/>
      <c r="W83" s="10"/>
      <c r="X83" s="10"/>
      <c r="Y83" s="10"/>
      <c r="Z83" s="10"/>
    </row>
    <row r="84" ht="130.5" customHeight="1">
      <c r="A84" s="120" t="s">
        <v>578</v>
      </c>
      <c r="B84" s="120" t="s">
        <v>579</v>
      </c>
      <c r="C84" s="120" t="s">
        <v>580</v>
      </c>
      <c r="D84" s="120" t="s">
        <v>581</v>
      </c>
      <c r="E84" s="120" t="s">
        <v>582</v>
      </c>
      <c r="F84" s="120" t="s">
        <v>227</v>
      </c>
      <c r="G84" s="122">
        <v>45915.0</v>
      </c>
      <c r="H84" s="120" t="s">
        <v>258</v>
      </c>
      <c r="I84" s="120" t="s">
        <v>227</v>
      </c>
      <c r="J84" s="122">
        <v>45954.0</v>
      </c>
      <c r="K84" s="120" t="s">
        <v>259</v>
      </c>
      <c r="L84" s="120" t="s">
        <v>227</v>
      </c>
      <c r="M84" s="122">
        <v>45974.0</v>
      </c>
      <c r="N84" s="120" t="s">
        <v>258</v>
      </c>
      <c r="O84" s="120"/>
      <c r="P84" s="57"/>
      <c r="Q84" s="89"/>
      <c r="R84" s="10"/>
      <c r="S84" s="10"/>
      <c r="T84" s="10"/>
      <c r="U84" s="10"/>
      <c r="V84" s="10"/>
      <c r="W84" s="10"/>
      <c r="X84" s="10"/>
      <c r="Y84" s="10"/>
      <c r="Z84" s="10"/>
    </row>
    <row r="85" ht="130.5" customHeight="1">
      <c r="A85" s="120" t="s">
        <v>583</v>
      </c>
      <c r="B85" s="120" t="s">
        <v>584</v>
      </c>
      <c r="C85" s="120" t="s">
        <v>585</v>
      </c>
      <c r="D85" s="120" t="s">
        <v>586</v>
      </c>
      <c r="E85" s="120" t="s">
        <v>481</v>
      </c>
      <c r="F85" s="120" t="s">
        <v>227</v>
      </c>
      <c r="G85" s="122">
        <v>45915.0</v>
      </c>
      <c r="H85" s="120" t="s">
        <v>258</v>
      </c>
      <c r="I85" s="120" t="s">
        <v>227</v>
      </c>
      <c r="J85" s="122">
        <v>45954.0</v>
      </c>
      <c r="K85" s="120" t="s">
        <v>259</v>
      </c>
      <c r="L85" s="120" t="s">
        <v>227</v>
      </c>
      <c r="M85" s="122">
        <v>45974.0</v>
      </c>
      <c r="N85" s="120" t="s">
        <v>258</v>
      </c>
      <c r="O85" s="120"/>
      <c r="P85" s="57"/>
      <c r="Q85" s="89"/>
      <c r="R85" s="10"/>
      <c r="S85" s="10"/>
      <c r="T85" s="10"/>
      <c r="U85" s="10"/>
      <c r="V85" s="10"/>
      <c r="W85" s="10"/>
      <c r="X85" s="10"/>
      <c r="Y85" s="10"/>
      <c r="Z85" s="10"/>
    </row>
    <row r="86" ht="12.75" customHeight="1">
      <c r="A86" s="116" t="s">
        <v>587</v>
      </c>
      <c r="B86" s="117"/>
      <c r="C86" s="117"/>
      <c r="D86" s="117"/>
      <c r="E86" s="117"/>
      <c r="F86" s="117"/>
      <c r="G86" s="117"/>
      <c r="H86" s="117"/>
      <c r="I86" s="117"/>
      <c r="J86" s="117"/>
      <c r="K86" s="117"/>
      <c r="L86" s="117"/>
      <c r="M86" s="117"/>
      <c r="N86" s="117"/>
      <c r="O86" s="117"/>
      <c r="P86" s="57"/>
      <c r="Q86" s="89"/>
      <c r="R86" s="10"/>
      <c r="S86" s="10"/>
      <c r="T86" s="10"/>
      <c r="U86" s="10"/>
      <c r="V86" s="10"/>
      <c r="W86" s="10"/>
      <c r="X86" s="10"/>
      <c r="Y86" s="10"/>
      <c r="Z86" s="10"/>
    </row>
    <row r="87" ht="12.75" customHeight="1">
      <c r="A87" s="120" t="s">
        <v>588</v>
      </c>
      <c r="B87" s="120" t="s">
        <v>589</v>
      </c>
      <c r="C87" s="120" t="s">
        <v>590</v>
      </c>
      <c r="D87" s="120" t="s">
        <v>591</v>
      </c>
      <c r="E87" s="120" t="s">
        <v>274</v>
      </c>
      <c r="F87" s="120" t="s">
        <v>227</v>
      </c>
      <c r="G87" s="122">
        <v>45916.0</v>
      </c>
      <c r="H87" s="120" t="s">
        <v>258</v>
      </c>
      <c r="I87" s="120" t="s">
        <v>227</v>
      </c>
      <c r="J87" s="122">
        <v>45954.0</v>
      </c>
      <c r="K87" s="120" t="s">
        <v>259</v>
      </c>
      <c r="L87" s="120" t="s">
        <v>227</v>
      </c>
      <c r="M87" s="122">
        <v>45974.0</v>
      </c>
      <c r="N87" s="120" t="s">
        <v>258</v>
      </c>
      <c r="O87" s="120"/>
      <c r="P87" s="57"/>
      <c r="Q87" s="89"/>
      <c r="R87" s="10"/>
      <c r="S87" s="10"/>
      <c r="T87" s="10"/>
      <c r="U87" s="10"/>
      <c r="V87" s="10"/>
      <c r="W87" s="10"/>
      <c r="X87" s="10"/>
      <c r="Y87" s="10"/>
      <c r="Z87" s="10"/>
    </row>
    <row r="88" ht="12.75" customHeight="1">
      <c r="A88" s="120" t="s">
        <v>592</v>
      </c>
      <c r="B88" s="120" t="s">
        <v>593</v>
      </c>
      <c r="C88" s="120" t="s">
        <v>594</v>
      </c>
      <c r="D88" s="120" t="s">
        <v>595</v>
      </c>
      <c r="E88" s="120" t="s">
        <v>274</v>
      </c>
      <c r="F88" s="120" t="s">
        <v>228</v>
      </c>
      <c r="G88" s="122">
        <v>45916.0</v>
      </c>
      <c r="H88" s="120" t="s">
        <v>258</v>
      </c>
      <c r="I88" s="120" t="s">
        <v>227</v>
      </c>
      <c r="J88" s="122">
        <v>45954.0</v>
      </c>
      <c r="K88" s="120" t="s">
        <v>259</v>
      </c>
      <c r="L88" s="120" t="s">
        <v>227</v>
      </c>
      <c r="M88" s="122">
        <v>45974.0</v>
      </c>
      <c r="N88" s="120" t="s">
        <v>258</v>
      </c>
      <c r="O88" s="120" t="s">
        <v>596</v>
      </c>
      <c r="P88" s="57"/>
      <c r="Q88" s="89"/>
      <c r="R88" s="10"/>
      <c r="S88" s="10"/>
      <c r="T88" s="10"/>
      <c r="U88" s="10"/>
      <c r="V88" s="10"/>
      <c r="W88" s="10"/>
      <c r="X88" s="10"/>
      <c r="Y88" s="10"/>
      <c r="Z88" s="10"/>
    </row>
    <row r="89" ht="12.75" customHeight="1">
      <c r="A89" s="120" t="s">
        <v>597</v>
      </c>
      <c r="B89" s="120" t="s">
        <v>598</v>
      </c>
      <c r="C89" s="120" t="s">
        <v>599</v>
      </c>
      <c r="D89" s="120" t="s">
        <v>600</v>
      </c>
      <c r="E89" s="120" t="s">
        <v>274</v>
      </c>
      <c r="F89" s="120" t="s">
        <v>227</v>
      </c>
      <c r="G89" s="122">
        <v>45916.0</v>
      </c>
      <c r="H89" s="120" t="s">
        <v>258</v>
      </c>
      <c r="I89" s="120" t="s">
        <v>227</v>
      </c>
      <c r="J89" s="122">
        <v>45954.0</v>
      </c>
      <c r="K89" s="120" t="s">
        <v>259</v>
      </c>
      <c r="L89" s="120" t="s">
        <v>227</v>
      </c>
      <c r="M89" s="122">
        <v>45974.0</v>
      </c>
      <c r="N89" s="120" t="s">
        <v>258</v>
      </c>
      <c r="O89" s="120"/>
      <c r="P89" s="57"/>
      <c r="Q89" s="89"/>
      <c r="R89" s="10"/>
      <c r="S89" s="10"/>
      <c r="T89" s="10"/>
      <c r="U89" s="10"/>
      <c r="V89" s="10"/>
      <c r="W89" s="10"/>
      <c r="X89" s="10"/>
      <c r="Y89" s="10"/>
      <c r="Z89" s="10"/>
    </row>
    <row r="90" ht="12.75" customHeight="1">
      <c r="A90" s="120" t="s">
        <v>601</v>
      </c>
      <c r="B90" s="120" t="s">
        <v>602</v>
      </c>
      <c r="C90" s="120" t="s">
        <v>603</v>
      </c>
      <c r="D90" s="120" t="s">
        <v>604</v>
      </c>
      <c r="E90" s="120" t="s">
        <v>605</v>
      </c>
      <c r="F90" s="120" t="s">
        <v>227</v>
      </c>
      <c r="G90" s="122">
        <v>45916.0</v>
      </c>
      <c r="H90" s="120" t="s">
        <v>258</v>
      </c>
      <c r="I90" s="120" t="s">
        <v>227</v>
      </c>
      <c r="J90" s="122">
        <v>45954.0</v>
      </c>
      <c r="K90" s="120" t="s">
        <v>259</v>
      </c>
      <c r="L90" s="120" t="s">
        <v>227</v>
      </c>
      <c r="M90" s="122">
        <v>45974.0</v>
      </c>
      <c r="N90" s="120" t="s">
        <v>258</v>
      </c>
      <c r="O90" s="120"/>
      <c r="P90" s="57"/>
      <c r="Q90" s="89"/>
      <c r="R90" s="10"/>
      <c r="S90" s="10"/>
      <c r="T90" s="10"/>
      <c r="U90" s="10"/>
      <c r="V90" s="10"/>
      <c r="W90" s="10"/>
      <c r="X90" s="10"/>
      <c r="Y90" s="10"/>
      <c r="Z90" s="10"/>
    </row>
    <row r="91" ht="12.75" customHeight="1">
      <c r="A91" s="120" t="s">
        <v>606</v>
      </c>
      <c r="B91" s="120" t="s">
        <v>607</v>
      </c>
      <c r="C91" s="120" t="s">
        <v>608</v>
      </c>
      <c r="D91" s="120" t="s">
        <v>609</v>
      </c>
      <c r="E91" s="120" t="s">
        <v>279</v>
      </c>
      <c r="F91" s="120" t="s">
        <v>227</v>
      </c>
      <c r="G91" s="122">
        <v>45916.0</v>
      </c>
      <c r="H91" s="120" t="s">
        <v>258</v>
      </c>
      <c r="I91" s="120" t="s">
        <v>227</v>
      </c>
      <c r="J91" s="122">
        <v>45954.0</v>
      </c>
      <c r="K91" s="120" t="s">
        <v>259</v>
      </c>
      <c r="L91" s="120" t="s">
        <v>227</v>
      </c>
      <c r="M91" s="122">
        <v>45974.0</v>
      </c>
      <c r="N91" s="120" t="s">
        <v>258</v>
      </c>
      <c r="O91" s="120"/>
      <c r="P91" s="57"/>
      <c r="Q91" s="89"/>
      <c r="R91" s="10"/>
      <c r="S91" s="10"/>
      <c r="T91" s="10"/>
      <c r="U91" s="10"/>
      <c r="V91" s="10"/>
      <c r="W91" s="10"/>
      <c r="X91" s="10"/>
      <c r="Y91" s="10"/>
      <c r="Z91" s="10"/>
    </row>
    <row r="92" ht="12.75" customHeight="1">
      <c r="A92" s="120" t="s">
        <v>610</v>
      </c>
      <c r="B92" s="120" t="s">
        <v>611</v>
      </c>
      <c r="C92" s="120" t="s">
        <v>612</v>
      </c>
      <c r="D92" s="120" t="s">
        <v>613</v>
      </c>
      <c r="E92" s="120" t="s">
        <v>614</v>
      </c>
      <c r="F92" s="120" t="s">
        <v>227</v>
      </c>
      <c r="G92" s="122">
        <v>45916.0</v>
      </c>
      <c r="H92" s="120" t="s">
        <v>258</v>
      </c>
      <c r="I92" s="120" t="s">
        <v>227</v>
      </c>
      <c r="J92" s="122">
        <v>45954.0</v>
      </c>
      <c r="K92" s="120" t="s">
        <v>259</v>
      </c>
      <c r="L92" s="120" t="s">
        <v>227</v>
      </c>
      <c r="M92" s="122">
        <v>45974.0</v>
      </c>
      <c r="N92" s="120" t="s">
        <v>258</v>
      </c>
      <c r="O92" s="120"/>
      <c r="P92" s="57"/>
      <c r="Q92" s="89"/>
      <c r="R92" s="10"/>
      <c r="S92" s="10"/>
      <c r="T92" s="10"/>
      <c r="U92" s="10"/>
      <c r="V92" s="10"/>
      <c r="W92" s="10"/>
      <c r="X92" s="10"/>
      <c r="Y92" s="10"/>
      <c r="Z92" s="10"/>
    </row>
    <row r="93" ht="12.75" customHeight="1">
      <c r="A93" s="120" t="s">
        <v>615</v>
      </c>
      <c r="B93" s="120" t="s">
        <v>616</v>
      </c>
      <c r="C93" s="120" t="s">
        <v>617</v>
      </c>
      <c r="D93" s="120" t="s">
        <v>618</v>
      </c>
      <c r="E93" s="120" t="s">
        <v>274</v>
      </c>
      <c r="F93" s="120" t="s">
        <v>227</v>
      </c>
      <c r="G93" s="122">
        <v>45916.0</v>
      </c>
      <c r="H93" s="120" t="s">
        <v>258</v>
      </c>
      <c r="I93" s="120" t="s">
        <v>227</v>
      </c>
      <c r="J93" s="122">
        <v>45954.0</v>
      </c>
      <c r="K93" s="120" t="s">
        <v>259</v>
      </c>
      <c r="L93" s="120" t="s">
        <v>227</v>
      </c>
      <c r="M93" s="122">
        <v>45974.0</v>
      </c>
      <c r="N93" s="120" t="s">
        <v>258</v>
      </c>
      <c r="O93" s="120"/>
      <c r="P93" s="57"/>
      <c r="Q93" s="89"/>
      <c r="R93" s="10"/>
      <c r="S93" s="10"/>
      <c r="T93" s="10"/>
      <c r="U93" s="10"/>
      <c r="V93" s="10"/>
      <c r="W93" s="10"/>
      <c r="X93" s="10"/>
      <c r="Y93" s="10"/>
      <c r="Z93" s="10"/>
    </row>
    <row r="94" ht="12.75" customHeight="1">
      <c r="A94" s="120" t="s">
        <v>619</v>
      </c>
      <c r="B94" s="120" t="s">
        <v>620</v>
      </c>
      <c r="C94" s="120" t="s">
        <v>621</v>
      </c>
      <c r="D94" s="120" t="s">
        <v>622</v>
      </c>
      <c r="E94" s="120" t="s">
        <v>274</v>
      </c>
      <c r="F94" s="120" t="s">
        <v>227</v>
      </c>
      <c r="G94" s="122">
        <v>45916.0</v>
      </c>
      <c r="H94" s="120" t="s">
        <v>258</v>
      </c>
      <c r="I94" s="120" t="s">
        <v>227</v>
      </c>
      <c r="J94" s="122">
        <v>45954.0</v>
      </c>
      <c r="K94" s="120" t="s">
        <v>259</v>
      </c>
      <c r="L94" s="120" t="s">
        <v>227</v>
      </c>
      <c r="M94" s="122">
        <v>45974.0</v>
      </c>
      <c r="N94" s="120" t="s">
        <v>258</v>
      </c>
      <c r="O94" s="120"/>
      <c r="P94" s="57"/>
      <c r="Q94" s="89"/>
      <c r="R94" s="10"/>
      <c r="S94" s="10"/>
      <c r="T94" s="10"/>
      <c r="U94" s="10"/>
      <c r="V94" s="10"/>
      <c r="W94" s="10"/>
      <c r="X94" s="10"/>
      <c r="Y94" s="10"/>
      <c r="Z94" s="10"/>
    </row>
    <row r="95" ht="12.75" customHeight="1">
      <c r="A95" s="120" t="s">
        <v>623</v>
      </c>
      <c r="B95" s="120" t="s">
        <v>624</v>
      </c>
      <c r="C95" s="120" t="s">
        <v>625</v>
      </c>
      <c r="D95" s="120" t="s">
        <v>626</v>
      </c>
      <c r="E95" s="120" t="s">
        <v>274</v>
      </c>
      <c r="F95" s="120" t="s">
        <v>227</v>
      </c>
      <c r="G95" s="122">
        <v>45916.0</v>
      </c>
      <c r="H95" s="120" t="s">
        <v>258</v>
      </c>
      <c r="I95" s="120" t="s">
        <v>227</v>
      </c>
      <c r="J95" s="122">
        <v>45954.0</v>
      </c>
      <c r="K95" s="120" t="s">
        <v>259</v>
      </c>
      <c r="L95" s="120" t="s">
        <v>227</v>
      </c>
      <c r="M95" s="122">
        <v>45974.0</v>
      </c>
      <c r="N95" s="120" t="s">
        <v>258</v>
      </c>
      <c r="O95" s="120"/>
      <c r="P95" s="57"/>
      <c r="Q95" s="89"/>
      <c r="R95" s="10"/>
      <c r="S95" s="10"/>
      <c r="T95" s="10"/>
      <c r="U95" s="10"/>
      <c r="V95" s="10"/>
      <c r="W95" s="10"/>
      <c r="X95" s="10"/>
      <c r="Y95" s="10"/>
      <c r="Z95" s="10"/>
    </row>
    <row r="96" ht="12.75" customHeight="1">
      <c r="A96" s="120" t="s">
        <v>627</v>
      </c>
      <c r="B96" s="120" t="s">
        <v>628</v>
      </c>
      <c r="C96" s="120" t="s">
        <v>629</v>
      </c>
      <c r="D96" s="120" t="s">
        <v>630</v>
      </c>
      <c r="E96" s="120" t="s">
        <v>289</v>
      </c>
      <c r="F96" s="120" t="s">
        <v>227</v>
      </c>
      <c r="G96" s="122">
        <v>45916.0</v>
      </c>
      <c r="H96" s="120" t="s">
        <v>258</v>
      </c>
      <c r="I96" s="120" t="s">
        <v>227</v>
      </c>
      <c r="J96" s="122">
        <v>45954.0</v>
      </c>
      <c r="K96" s="120" t="s">
        <v>259</v>
      </c>
      <c r="L96" s="120" t="s">
        <v>227</v>
      </c>
      <c r="M96" s="122">
        <v>45974.0</v>
      </c>
      <c r="N96" s="120" t="s">
        <v>258</v>
      </c>
      <c r="O96" s="120"/>
      <c r="P96" s="57"/>
      <c r="Q96" s="89"/>
      <c r="R96" s="10"/>
      <c r="S96" s="10"/>
      <c r="T96" s="10"/>
      <c r="U96" s="10"/>
      <c r="V96" s="10"/>
      <c r="W96" s="10"/>
      <c r="X96" s="10"/>
      <c r="Y96" s="10"/>
      <c r="Z96" s="10"/>
    </row>
    <row r="97" ht="12.75" customHeight="1">
      <c r="A97" s="120" t="s">
        <v>631</v>
      </c>
      <c r="B97" s="120" t="s">
        <v>632</v>
      </c>
      <c r="C97" s="120" t="s">
        <v>633</v>
      </c>
      <c r="D97" s="120" t="s">
        <v>634</v>
      </c>
      <c r="E97" s="120" t="s">
        <v>294</v>
      </c>
      <c r="F97" s="120" t="s">
        <v>227</v>
      </c>
      <c r="G97" s="122">
        <v>45916.0</v>
      </c>
      <c r="H97" s="120" t="s">
        <v>258</v>
      </c>
      <c r="I97" s="120" t="s">
        <v>227</v>
      </c>
      <c r="J97" s="122">
        <v>45954.0</v>
      </c>
      <c r="K97" s="120" t="s">
        <v>259</v>
      </c>
      <c r="L97" s="120" t="s">
        <v>227</v>
      </c>
      <c r="M97" s="122">
        <v>45974.0</v>
      </c>
      <c r="N97" s="120" t="s">
        <v>258</v>
      </c>
      <c r="O97" s="120"/>
      <c r="P97" s="57"/>
      <c r="Q97" s="89"/>
      <c r="R97" s="10"/>
      <c r="S97" s="10"/>
      <c r="T97" s="10"/>
      <c r="U97" s="10"/>
      <c r="V97" s="10"/>
      <c r="W97" s="10"/>
      <c r="X97" s="10"/>
      <c r="Y97" s="10"/>
      <c r="Z97" s="10"/>
    </row>
    <row r="98" ht="12.75" customHeight="1">
      <c r="A98" s="120" t="s">
        <v>635</v>
      </c>
      <c r="B98" s="120" t="s">
        <v>636</v>
      </c>
      <c r="C98" s="120" t="s">
        <v>637</v>
      </c>
      <c r="D98" s="120" t="s">
        <v>638</v>
      </c>
      <c r="E98" s="120" t="s">
        <v>300</v>
      </c>
      <c r="F98" s="120" t="s">
        <v>227</v>
      </c>
      <c r="G98" s="122">
        <v>45916.0</v>
      </c>
      <c r="H98" s="120" t="s">
        <v>258</v>
      </c>
      <c r="I98" s="120" t="s">
        <v>227</v>
      </c>
      <c r="J98" s="122">
        <v>45954.0</v>
      </c>
      <c r="K98" s="120" t="s">
        <v>259</v>
      </c>
      <c r="L98" s="120" t="s">
        <v>227</v>
      </c>
      <c r="M98" s="122">
        <v>45974.0</v>
      </c>
      <c r="N98" s="120" t="s">
        <v>258</v>
      </c>
      <c r="O98" s="120"/>
      <c r="P98" s="57"/>
      <c r="Q98" s="89"/>
      <c r="R98" s="10"/>
      <c r="S98" s="10"/>
      <c r="T98" s="10"/>
      <c r="U98" s="10"/>
      <c r="V98" s="10"/>
      <c r="W98" s="10"/>
      <c r="X98" s="10"/>
      <c r="Y98" s="10"/>
      <c r="Z98" s="10"/>
    </row>
    <row r="99" ht="12.75" customHeight="1">
      <c r="A99" s="120" t="s">
        <v>639</v>
      </c>
      <c r="B99" s="120" t="s">
        <v>640</v>
      </c>
      <c r="C99" s="120" t="s">
        <v>641</v>
      </c>
      <c r="D99" s="120" t="s">
        <v>642</v>
      </c>
      <c r="E99" s="120" t="s">
        <v>305</v>
      </c>
      <c r="F99" s="120" t="s">
        <v>227</v>
      </c>
      <c r="G99" s="122">
        <v>45916.0</v>
      </c>
      <c r="H99" s="120" t="s">
        <v>258</v>
      </c>
      <c r="I99" s="120" t="s">
        <v>227</v>
      </c>
      <c r="J99" s="122">
        <v>45954.0</v>
      </c>
      <c r="K99" s="120" t="s">
        <v>259</v>
      </c>
      <c r="L99" s="120" t="s">
        <v>227</v>
      </c>
      <c r="M99" s="122">
        <v>45974.0</v>
      </c>
      <c r="N99" s="120" t="s">
        <v>258</v>
      </c>
      <c r="O99" s="120"/>
      <c r="P99" s="57"/>
      <c r="Q99" s="89"/>
      <c r="R99" s="10"/>
      <c r="S99" s="10"/>
      <c r="T99" s="10"/>
      <c r="U99" s="10"/>
      <c r="V99" s="10"/>
      <c r="W99" s="10"/>
      <c r="X99" s="10"/>
      <c r="Y99" s="10"/>
      <c r="Z99" s="10"/>
    </row>
    <row r="100" ht="12.75" customHeight="1">
      <c r="A100" s="120" t="s">
        <v>643</v>
      </c>
      <c r="B100" s="120" t="s">
        <v>644</v>
      </c>
      <c r="C100" s="120" t="s">
        <v>645</v>
      </c>
      <c r="D100" s="120" t="s">
        <v>646</v>
      </c>
      <c r="E100" s="120" t="s">
        <v>279</v>
      </c>
      <c r="F100" s="120" t="s">
        <v>227</v>
      </c>
      <c r="G100" s="122">
        <v>45916.0</v>
      </c>
      <c r="H100" s="120" t="s">
        <v>258</v>
      </c>
      <c r="I100" s="120" t="s">
        <v>227</v>
      </c>
      <c r="J100" s="122">
        <v>45954.0</v>
      </c>
      <c r="K100" s="120" t="s">
        <v>259</v>
      </c>
      <c r="L100" s="120" t="s">
        <v>227</v>
      </c>
      <c r="M100" s="122">
        <v>45974.0</v>
      </c>
      <c r="N100" s="120" t="s">
        <v>258</v>
      </c>
      <c r="O100" s="120"/>
      <c r="P100" s="57"/>
      <c r="Q100" s="89"/>
      <c r="R100" s="10"/>
      <c r="S100" s="10"/>
      <c r="T100" s="10"/>
      <c r="U100" s="10"/>
      <c r="V100" s="10"/>
      <c r="W100" s="10"/>
      <c r="X100" s="10"/>
      <c r="Y100" s="10"/>
      <c r="Z100" s="10"/>
    </row>
    <row r="101" ht="12.75" customHeight="1">
      <c r="A101" s="120" t="s">
        <v>647</v>
      </c>
      <c r="B101" s="120" t="s">
        <v>648</v>
      </c>
      <c r="C101" s="120" t="s">
        <v>649</v>
      </c>
      <c r="D101" s="120" t="s">
        <v>650</v>
      </c>
      <c r="E101" s="120" t="s">
        <v>274</v>
      </c>
      <c r="F101" s="120" t="s">
        <v>227</v>
      </c>
      <c r="G101" s="122">
        <v>45916.0</v>
      </c>
      <c r="H101" s="120" t="s">
        <v>258</v>
      </c>
      <c r="I101" s="120" t="s">
        <v>227</v>
      </c>
      <c r="J101" s="122">
        <v>45954.0</v>
      </c>
      <c r="K101" s="120" t="s">
        <v>259</v>
      </c>
      <c r="L101" s="120" t="s">
        <v>227</v>
      </c>
      <c r="M101" s="122">
        <v>45974.0</v>
      </c>
      <c r="N101" s="120" t="s">
        <v>258</v>
      </c>
      <c r="O101" s="120"/>
      <c r="P101" s="57"/>
      <c r="Q101" s="89"/>
      <c r="R101" s="10"/>
      <c r="S101" s="10"/>
      <c r="T101" s="10"/>
      <c r="U101" s="10"/>
      <c r="V101" s="10"/>
      <c r="W101" s="10"/>
      <c r="X101" s="10"/>
      <c r="Y101" s="10"/>
      <c r="Z101" s="10"/>
    </row>
    <row r="102" ht="12.75" customHeight="1">
      <c r="A102" s="120" t="s">
        <v>651</v>
      </c>
      <c r="B102" s="120" t="s">
        <v>652</v>
      </c>
      <c r="C102" s="120" t="s">
        <v>653</v>
      </c>
      <c r="D102" s="120" t="s">
        <v>654</v>
      </c>
      <c r="E102" s="120" t="s">
        <v>284</v>
      </c>
      <c r="F102" s="120" t="s">
        <v>227</v>
      </c>
      <c r="G102" s="122">
        <v>45916.0</v>
      </c>
      <c r="H102" s="120" t="s">
        <v>258</v>
      </c>
      <c r="I102" s="120" t="s">
        <v>227</v>
      </c>
      <c r="J102" s="122">
        <v>45954.0</v>
      </c>
      <c r="K102" s="120" t="s">
        <v>259</v>
      </c>
      <c r="L102" s="120" t="s">
        <v>227</v>
      </c>
      <c r="M102" s="122">
        <v>45974.0</v>
      </c>
      <c r="N102" s="120" t="s">
        <v>258</v>
      </c>
      <c r="O102" s="120"/>
      <c r="P102" s="57"/>
      <c r="Q102" s="89"/>
      <c r="R102" s="10"/>
      <c r="S102" s="10"/>
      <c r="T102" s="10"/>
      <c r="U102" s="10"/>
      <c r="V102" s="10"/>
      <c r="W102" s="10"/>
      <c r="X102" s="10"/>
      <c r="Y102" s="10"/>
      <c r="Z102" s="10"/>
    </row>
    <row r="103" ht="12.75" customHeight="1">
      <c r="A103" s="120" t="s">
        <v>655</v>
      </c>
      <c r="B103" s="120" t="s">
        <v>656</v>
      </c>
      <c r="C103" s="120" t="s">
        <v>657</v>
      </c>
      <c r="D103" s="120" t="s">
        <v>658</v>
      </c>
      <c r="E103" s="120" t="s">
        <v>659</v>
      </c>
      <c r="F103" s="120" t="s">
        <v>227</v>
      </c>
      <c r="G103" s="122">
        <v>45916.0</v>
      </c>
      <c r="H103" s="120" t="s">
        <v>258</v>
      </c>
      <c r="I103" s="120" t="s">
        <v>227</v>
      </c>
      <c r="J103" s="122">
        <v>45954.0</v>
      </c>
      <c r="K103" s="120" t="s">
        <v>259</v>
      </c>
      <c r="L103" s="120" t="s">
        <v>227</v>
      </c>
      <c r="M103" s="122">
        <v>45974.0</v>
      </c>
      <c r="N103" s="120" t="s">
        <v>258</v>
      </c>
      <c r="O103" s="120"/>
      <c r="P103" s="57"/>
      <c r="Q103" s="89"/>
      <c r="R103" s="10"/>
      <c r="S103" s="10"/>
      <c r="T103" s="10"/>
      <c r="U103" s="10"/>
      <c r="V103" s="10"/>
      <c r="W103" s="10"/>
      <c r="X103" s="10"/>
      <c r="Y103" s="10"/>
      <c r="Z103" s="10"/>
    </row>
    <row r="104" ht="12.75" customHeight="1">
      <c r="A104" s="120" t="s">
        <v>660</v>
      </c>
      <c r="B104" s="120" t="s">
        <v>661</v>
      </c>
      <c r="C104" s="120" t="s">
        <v>662</v>
      </c>
      <c r="D104" s="120" t="s">
        <v>663</v>
      </c>
      <c r="E104" s="120" t="s">
        <v>664</v>
      </c>
      <c r="F104" s="120" t="s">
        <v>227</v>
      </c>
      <c r="G104" s="122">
        <v>45916.0</v>
      </c>
      <c r="H104" s="120" t="s">
        <v>258</v>
      </c>
      <c r="I104" s="120" t="s">
        <v>227</v>
      </c>
      <c r="J104" s="122">
        <v>45954.0</v>
      </c>
      <c r="K104" s="120" t="s">
        <v>259</v>
      </c>
      <c r="L104" s="120" t="s">
        <v>227</v>
      </c>
      <c r="M104" s="122">
        <v>45974.0</v>
      </c>
      <c r="N104" s="120" t="s">
        <v>258</v>
      </c>
      <c r="O104" s="120"/>
      <c r="P104" s="57"/>
      <c r="Q104" s="89"/>
      <c r="R104" s="10"/>
      <c r="S104" s="10"/>
      <c r="T104" s="10"/>
      <c r="U104" s="10"/>
      <c r="V104" s="10"/>
      <c r="W104" s="10"/>
      <c r="X104" s="10"/>
      <c r="Y104" s="10"/>
      <c r="Z104" s="10"/>
    </row>
    <row r="105" ht="12.75" customHeight="1">
      <c r="A105" s="120" t="s">
        <v>665</v>
      </c>
      <c r="B105" s="120" t="s">
        <v>666</v>
      </c>
      <c r="C105" s="120" t="s">
        <v>667</v>
      </c>
      <c r="D105" s="120" t="s">
        <v>668</v>
      </c>
      <c r="E105" s="120" t="s">
        <v>669</v>
      </c>
      <c r="F105" s="120" t="s">
        <v>227</v>
      </c>
      <c r="G105" s="122">
        <v>45916.0</v>
      </c>
      <c r="H105" s="120" t="s">
        <v>258</v>
      </c>
      <c r="I105" s="120" t="s">
        <v>227</v>
      </c>
      <c r="J105" s="122">
        <v>45954.0</v>
      </c>
      <c r="K105" s="120" t="s">
        <v>259</v>
      </c>
      <c r="L105" s="120" t="s">
        <v>227</v>
      </c>
      <c r="M105" s="122">
        <v>45974.0</v>
      </c>
      <c r="N105" s="120" t="s">
        <v>258</v>
      </c>
      <c r="O105" s="120"/>
      <c r="P105" s="57"/>
      <c r="Q105" s="89"/>
      <c r="R105" s="10"/>
      <c r="S105" s="10"/>
      <c r="T105" s="10"/>
      <c r="U105" s="10"/>
      <c r="V105" s="10"/>
      <c r="W105" s="10"/>
      <c r="X105" s="10"/>
      <c r="Y105" s="10"/>
      <c r="Z105" s="10"/>
    </row>
    <row r="106" ht="12.75" customHeight="1">
      <c r="A106" s="116" t="s">
        <v>670</v>
      </c>
      <c r="B106" s="117"/>
      <c r="C106" s="117"/>
      <c r="D106" s="117"/>
      <c r="E106" s="117"/>
      <c r="F106" s="117"/>
      <c r="G106" s="117"/>
      <c r="H106" s="117"/>
      <c r="I106" s="117"/>
      <c r="J106" s="117"/>
      <c r="K106" s="117"/>
      <c r="L106" s="117"/>
      <c r="M106" s="117"/>
      <c r="N106" s="117"/>
      <c r="O106" s="117"/>
      <c r="P106" s="57"/>
      <c r="Q106" s="89"/>
      <c r="R106" s="10"/>
      <c r="S106" s="10"/>
      <c r="T106" s="10"/>
      <c r="U106" s="10"/>
      <c r="V106" s="10"/>
      <c r="W106" s="10"/>
      <c r="X106" s="10"/>
      <c r="Y106" s="10"/>
      <c r="Z106" s="10"/>
    </row>
    <row r="107" ht="12.75" customHeight="1">
      <c r="A107" s="120" t="s">
        <v>671</v>
      </c>
      <c r="B107" s="120" t="s">
        <v>672</v>
      </c>
      <c r="C107" s="120" t="s">
        <v>673</v>
      </c>
      <c r="D107" s="121" t="s">
        <v>674</v>
      </c>
      <c r="E107" s="121" t="s">
        <v>675</v>
      </c>
      <c r="F107" s="120" t="s">
        <v>227</v>
      </c>
      <c r="G107" s="122">
        <v>45916.0</v>
      </c>
      <c r="H107" s="120" t="s">
        <v>258</v>
      </c>
      <c r="I107" s="120" t="s">
        <v>227</v>
      </c>
      <c r="J107" s="122">
        <v>45954.0</v>
      </c>
      <c r="K107" s="120" t="s">
        <v>259</v>
      </c>
      <c r="L107" s="120" t="s">
        <v>227</v>
      </c>
      <c r="M107" s="122">
        <v>45974.0</v>
      </c>
      <c r="N107" s="120" t="s">
        <v>258</v>
      </c>
      <c r="O107" s="123"/>
      <c r="P107" s="57"/>
      <c r="Q107" s="89"/>
      <c r="R107" s="10"/>
      <c r="S107" s="10"/>
      <c r="T107" s="10"/>
      <c r="U107" s="10"/>
      <c r="V107" s="10"/>
      <c r="W107" s="10"/>
      <c r="X107" s="10"/>
      <c r="Y107" s="10"/>
      <c r="Z107" s="10"/>
    </row>
    <row r="108" ht="12.75" customHeight="1">
      <c r="A108" s="120" t="s">
        <v>676</v>
      </c>
      <c r="B108" s="120" t="s">
        <v>677</v>
      </c>
      <c r="C108" s="120" t="s">
        <v>678</v>
      </c>
      <c r="D108" s="121" t="s">
        <v>679</v>
      </c>
      <c r="E108" s="121" t="s">
        <v>680</v>
      </c>
      <c r="F108" s="120" t="s">
        <v>227</v>
      </c>
      <c r="G108" s="122">
        <v>45916.0</v>
      </c>
      <c r="H108" s="120" t="s">
        <v>258</v>
      </c>
      <c r="I108" s="120" t="s">
        <v>227</v>
      </c>
      <c r="J108" s="122">
        <v>45954.0</v>
      </c>
      <c r="K108" s="120" t="s">
        <v>259</v>
      </c>
      <c r="L108" s="120" t="s">
        <v>227</v>
      </c>
      <c r="M108" s="122">
        <v>45974.0</v>
      </c>
      <c r="N108" s="120" t="s">
        <v>258</v>
      </c>
      <c r="O108" s="123"/>
      <c r="P108" s="57"/>
      <c r="Q108" s="89"/>
      <c r="R108" s="10"/>
      <c r="S108" s="10"/>
      <c r="T108" s="10"/>
      <c r="U108" s="10"/>
      <c r="V108" s="10"/>
      <c r="W108" s="10"/>
      <c r="X108" s="10"/>
      <c r="Y108" s="10"/>
      <c r="Z108" s="10"/>
    </row>
    <row r="109" ht="12.75" customHeight="1">
      <c r="A109" s="120" t="s">
        <v>681</v>
      </c>
      <c r="B109" s="120" t="s">
        <v>682</v>
      </c>
      <c r="C109" s="120" t="s">
        <v>683</v>
      </c>
      <c r="D109" s="121" t="s">
        <v>684</v>
      </c>
      <c r="E109" s="121" t="s">
        <v>685</v>
      </c>
      <c r="F109" s="120" t="s">
        <v>227</v>
      </c>
      <c r="G109" s="122">
        <v>45916.0</v>
      </c>
      <c r="H109" s="120" t="s">
        <v>258</v>
      </c>
      <c r="I109" s="120" t="s">
        <v>227</v>
      </c>
      <c r="J109" s="122">
        <v>45954.0</v>
      </c>
      <c r="K109" s="120" t="s">
        <v>259</v>
      </c>
      <c r="L109" s="120" t="s">
        <v>227</v>
      </c>
      <c r="M109" s="122">
        <v>45974.0</v>
      </c>
      <c r="N109" s="120" t="s">
        <v>258</v>
      </c>
      <c r="O109" s="123"/>
      <c r="P109" s="57"/>
      <c r="Q109" s="89"/>
      <c r="R109" s="10"/>
      <c r="S109" s="10"/>
      <c r="T109" s="10"/>
      <c r="U109" s="10"/>
      <c r="V109" s="10"/>
      <c r="W109" s="10"/>
      <c r="X109" s="10"/>
      <c r="Y109" s="10"/>
      <c r="Z109" s="10"/>
    </row>
    <row r="110" ht="12.75" customHeight="1">
      <c r="A110" s="120" t="s">
        <v>686</v>
      </c>
      <c r="B110" s="120" t="s">
        <v>687</v>
      </c>
      <c r="C110" s="120" t="s">
        <v>688</v>
      </c>
      <c r="D110" s="121" t="s">
        <v>689</v>
      </c>
      <c r="E110" s="121" t="s">
        <v>685</v>
      </c>
      <c r="F110" s="120" t="s">
        <v>227</v>
      </c>
      <c r="G110" s="122">
        <v>45916.0</v>
      </c>
      <c r="H110" s="120" t="s">
        <v>258</v>
      </c>
      <c r="I110" s="120" t="s">
        <v>228</v>
      </c>
      <c r="J110" s="122">
        <v>45954.0</v>
      </c>
      <c r="K110" s="120" t="s">
        <v>259</v>
      </c>
      <c r="L110" s="120" t="s">
        <v>227</v>
      </c>
      <c r="M110" s="122">
        <v>45974.0</v>
      </c>
      <c r="N110" s="120" t="s">
        <v>258</v>
      </c>
      <c r="O110" s="123"/>
      <c r="P110" s="57"/>
      <c r="Q110" s="89"/>
      <c r="R110" s="10"/>
      <c r="S110" s="10"/>
      <c r="T110" s="10"/>
      <c r="U110" s="10"/>
      <c r="V110" s="10"/>
      <c r="W110" s="10"/>
      <c r="X110" s="10"/>
      <c r="Y110" s="10"/>
      <c r="Z110" s="10"/>
    </row>
    <row r="111" ht="12.75" customHeight="1">
      <c r="A111" s="120" t="s">
        <v>690</v>
      </c>
      <c r="B111" s="120" t="s">
        <v>691</v>
      </c>
      <c r="C111" s="120" t="s">
        <v>692</v>
      </c>
      <c r="D111" s="121" t="s">
        <v>693</v>
      </c>
      <c r="E111" s="121" t="s">
        <v>685</v>
      </c>
      <c r="F111" s="120" t="s">
        <v>227</v>
      </c>
      <c r="G111" s="122">
        <v>45916.0</v>
      </c>
      <c r="H111" s="120" t="s">
        <v>258</v>
      </c>
      <c r="I111" s="120" t="s">
        <v>228</v>
      </c>
      <c r="J111" s="122">
        <v>45954.0</v>
      </c>
      <c r="K111" s="120" t="s">
        <v>259</v>
      </c>
      <c r="L111" s="120" t="s">
        <v>227</v>
      </c>
      <c r="M111" s="122">
        <v>45974.0</v>
      </c>
      <c r="N111" s="120" t="s">
        <v>258</v>
      </c>
      <c r="O111" s="123"/>
      <c r="P111" s="57"/>
      <c r="Q111" s="89"/>
      <c r="R111" s="10"/>
      <c r="S111" s="10"/>
      <c r="T111" s="10"/>
      <c r="U111" s="10"/>
      <c r="V111" s="10"/>
      <c r="W111" s="10"/>
      <c r="X111" s="10"/>
      <c r="Y111" s="10"/>
      <c r="Z111" s="10"/>
    </row>
    <row r="112" ht="12.75" customHeight="1">
      <c r="A112" s="120" t="s">
        <v>694</v>
      </c>
      <c r="B112" s="120" t="s">
        <v>695</v>
      </c>
      <c r="C112" s="120" t="s">
        <v>696</v>
      </c>
      <c r="D112" s="121" t="s">
        <v>697</v>
      </c>
      <c r="E112" s="121" t="s">
        <v>685</v>
      </c>
      <c r="F112" s="120" t="s">
        <v>227</v>
      </c>
      <c r="G112" s="122">
        <v>45916.0</v>
      </c>
      <c r="H112" s="120" t="s">
        <v>258</v>
      </c>
      <c r="I112" s="120" t="s">
        <v>227</v>
      </c>
      <c r="J112" s="122">
        <v>45954.0</v>
      </c>
      <c r="K112" s="120" t="s">
        <v>259</v>
      </c>
      <c r="L112" s="120" t="s">
        <v>227</v>
      </c>
      <c r="M112" s="122">
        <v>45974.0</v>
      </c>
      <c r="N112" s="120" t="s">
        <v>258</v>
      </c>
      <c r="O112" s="123"/>
      <c r="P112" s="57"/>
      <c r="Q112" s="89"/>
      <c r="R112" s="10"/>
      <c r="S112" s="10"/>
      <c r="T112" s="10"/>
      <c r="U112" s="10"/>
      <c r="V112" s="10"/>
      <c r="W112" s="10"/>
      <c r="X112" s="10"/>
      <c r="Y112" s="10"/>
      <c r="Z112" s="10"/>
    </row>
    <row r="113" ht="12.75" customHeight="1">
      <c r="A113" s="120" t="s">
        <v>698</v>
      </c>
      <c r="B113" s="120" t="s">
        <v>699</v>
      </c>
      <c r="C113" s="120" t="s">
        <v>700</v>
      </c>
      <c r="D113" s="121" t="s">
        <v>701</v>
      </c>
      <c r="E113" s="121" t="s">
        <v>702</v>
      </c>
      <c r="F113" s="120" t="s">
        <v>227</v>
      </c>
      <c r="G113" s="122">
        <v>45916.0</v>
      </c>
      <c r="H113" s="120" t="s">
        <v>258</v>
      </c>
      <c r="I113" s="120" t="s">
        <v>227</v>
      </c>
      <c r="J113" s="122">
        <v>45954.0</v>
      </c>
      <c r="K113" s="120" t="s">
        <v>259</v>
      </c>
      <c r="L113" s="120" t="s">
        <v>227</v>
      </c>
      <c r="M113" s="122">
        <v>45974.0</v>
      </c>
      <c r="N113" s="120" t="s">
        <v>258</v>
      </c>
      <c r="O113" s="123"/>
      <c r="P113" s="57"/>
      <c r="Q113" s="89"/>
      <c r="R113" s="10"/>
      <c r="S113" s="10"/>
      <c r="T113" s="10"/>
      <c r="U113" s="10"/>
      <c r="V113" s="10"/>
      <c r="W113" s="10"/>
      <c r="X113" s="10"/>
      <c r="Y113" s="10"/>
      <c r="Z113" s="10"/>
    </row>
    <row r="114" ht="12.75" customHeight="1">
      <c r="A114" s="120" t="s">
        <v>703</v>
      </c>
      <c r="B114" s="120" t="s">
        <v>704</v>
      </c>
      <c r="C114" s="120" t="s">
        <v>705</v>
      </c>
      <c r="D114" s="121" t="s">
        <v>701</v>
      </c>
      <c r="E114" s="121" t="s">
        <v>706</v>
      </c>
      <c r="F114" s="120" t="s">
        <v>227</v>
      </c>
      <c r="G114" s="122">
        <v>45916.0</v>
      </c>
      <c r="H114" s="120" t="s">
        <v>258</v>
      </c>
      <c r="I114" s="120" t="s">
        <v>228</v>
      </c>
      <c r="J114" s="122">
        <v>45954.0</v>
      </c>
      <c r="K114" s="120" t="s">
        <v>259</v>
      </c>
      <c r="L114" s="120" t="s">
        <v>227</v>
      </c>
      <c r="M114" s="122">
        <v>45974.0</v>
      </c>
      <c r="N114" s="120" t="s">
        <v>258</v>
      </c>
      <c r="O114" s="123"/>
      <c r="P114" s="57"/>
      <c r="Q114" s="89"/>
      <c r="R114" s="10"/>
      <c r="S114" s="10"/>
      <c r="T114" s="10"/>
      <c r="U114" s="10"/>
      <c r="V114" s="10"/>
      <c r="W114" s="10"/>
      <c r="X114" s="10"/>
      <c r="Y114" s="10"/>
      <c r="Z114" s="10"/>
    </row>
    <row r="115" ht="12.75" customHeight="1">
      <c r="A115" s="116" t="s">
        <v>46</v>
      </c>
      <c r="B115" s="117"/>
      <c r="C115" s="117"/>
      <c r="D115" s="117"/>
      <c r="E115" s="117"/>
      <c r="F115" s="117"/>
      <c r="G115" s="117"/>
      <c r="H115" s="117"/>
      <c r="I115" s="117"/>
      <c r="J115" s="117"/>
      <c r="K115" s="117"/>
      <c r="L115" s="117"/>
      <c r="M115" s="117"/>
      <c r="N115" s="117"/>
      <c r="O115" s="117"/>
      <c r="P115" s="57"/>
      <c r="Q115" s="89"/>
      <c r="R115" s="10"/>
      <c r="S115" s="10"/>
      <c r="T115" s="10"/>
      <c r="U115" s="10"/>
      <c r="V115" s="10"/>
      <c r="W115" s="10"/>
      <c r="X115" s="10"/>
      <c r="Y115" s="10"/>
      <c r="Z115" s="10"/>
    </row>
    <row r="116" ht="12.75" customHeight="1">
      <c r="A116" s="120" t="s">
        <v>707</v>
      </c>
      <c r="B116" s="120" t="s">
        <v>708</v>
      </c>
      <c r="C116" s="120" t="s">
        <v>709</v>
      </c>
      <c r="D116" s="120" t="s">
        <v>710</v>
      </c>
      <c r="E116" s="120" t="s">
        <v>711</v>
      </c>
      <c r="F116" s="120" t="s">
        <v>227</v>
      </c>
      <c r="G116" s="122">
        <v>45916.0</v>
      </c>
      <c r="H116" s="120" t="s">
        <v>258</v>
      </c>
      <c r="I116" s="120" t="s">
        <v>227</v>
      </c>
      <c r="J116" s="122">
        <v>45954.0</v>
      </c>
      <c r="K116" s="120" t="s">
        <v>259</v>
      </c>
      <c r="L116" s="120" t="s">
        <v>227</v>
      </c>
      <c r="M116" s="122">
        <v>45974.0</v>
      </c>
      <c r="N116" s="120" t="s">
        <v>258</v>
      </c>
      <c r="O116" s="120" t="s">
        <v>712</v>
      </c>
      <c r="P116" s="57"/>
      <c r="Q116" s="89"/>
      <c r="R116" s="10"/>
      <c r="S116" s="10"/>
      <c r="T116" s="10"/>
      <c r="U116" s="10"/>
      <c r="V116" s="10"/>
      <c r="W116" s="10"/>
      <c r="X116" s="10"/>
      <c r="Y116" s="10"/>
      <c r="Z116" s="10"/>
    </row>
    <row r="117" ht="12.75" customHeight="1">
      <c r="A117" s="120" t="s">
        <v>713</v>
      </c>
      <c r="B117" s="120" t="s">
        <v>714</v>
      </c>
      <c r="C117" s="120" t="s">
        <v>715</v>
      </c>
      <c r="D117" s="120" t="s">
        <v>716</v>
      </c>
      <c r="E117" s="120" t="s">
        <v>717</v>
      </c>
      <c r="F117" s="120" t="s">
        <v>227</v>
      </c>
      <c r="G117" s="122">
        <v>45916.0</v>
      </c>
      <c r="H117" s="120" t="s">
        <v>258</v>
      </c>
      <c r="I117" s="120" t="s">
        <v>227</v>
      </c>
      <c r="J117" s="122">
        <v>45954.0</v>
      </c>
      <c r="K117" s="120" t="s">
        <v>259</v>
      </c>
      <c r="L117" s="120" t="s">
        <v>227</v>
      </c>
      <c r="M117" s="122">
        <v>45974.0</v>
      </c>
      <c r="N117" s="120" t="s">
        <v>258</v>
      </c>
      <c r="O117" s="120" t="s">
        <v>718</v>
      </c>
      <c r="P117" s="57"/>
      <c r="Q117" s="89"/>
      <c r="R117" s="10"/>
      <c r="S117" s="10"/>
      <c r="T117" s="10"/>
      <c r="U117" s="10"/>
      <c r="V117" s="10"/>
      <c r="W117" s="10"/>
      <c r="X117" s="10"/>
      <c r="Y117" s="10"/>
      <c r="Z117" s="10"/>
    </row>
    <row r="118" ht="12.75" customHeight="1">
      <c r="A118" s="120" t="s">
        <v>719</v>
      </c>
      <c r="B118" s="120" t="s">
        <v>720</v>
      </c>
      <c r="C118" s="120" t="s">
        <v>721</v>
      </c>
      <c r="D118" s="120" t="s">
        <v>722</v>
      </c>
      <c r="E118" s="120" t="s">
        <v>723</v>
      </c>
      <c r="F118" s="120" t="s">
        <v>227</v>
      </c>
      <c r="G118" s="122">
        <v>45916.0</v>
      </c>
      <c r="H118" s="120" t="s">
        <v>258</v>
      </c>
      <c r="I118" s="120" t="s">
        <v>227</v>
      </c>
      <c r="J118" s="122">
        <v>45954.0</v>
      </c>
      <c r="K118" s="120" t="s">
        <v>259</v>
      </c>
      <c r="L118" s="120" t="s">
        <v>227</v>
      </c>
      <c r="M118" s="122">
        <v>45974.0</v>
      </c>
      <c r="N118" s="120" t="s">
        <v>258</v>
      </c>
      <c r="O118" s="120" t="s">
        <v>718</v>
      </c>
      <c r="P118" s="57"/>
      <c r="Q118" s="89"/>
      <c r="R118" s="10"/>
      <c r="S118" s="10"/>
      <c r="T118" s="10"/>
      <c r="U118" s="10"/>
      <c r="V118" s="10"/>
      <c r="W118" s="10"/>
      <c r="X118" s="10"/>
      <c r="Y118" s="10"/>
      <c r="Z118" s="10"/>
    </row>
    <row r="119" ht="12.75" customHeight="1">
      <c r="A119" s="120" t="s">
        <v>724</v>
      </c>
      <c r="B119" s="120" t="s">
        <v>725</v>
      </c>
      <c r="C119" s="120" t="s">
        <v>726</v>
      </c>
      <c r="D119" s="120" t="s">
        <v>727</v>
      </c>
      <c r="E119" s="120" t="s">
        <v>728</v>
      </c>
      <c r="F119" s="120" t="s">
        <v>227</v>
      </c>
      <c r="G119" s="122">
        <v>45916.0</v>
      </c>
      <c r="H119" s="120" t="s">
        <v>258</v>
      </c>
      <c r="I119" s="120" t="s">
        <v>227</v>
      </c>
      <c r="J119" s="122">
        <v>45954.0</v>
      </c>
      <c r="K119" s="120" t="s">
        <v>259</v>
      </c>
      <c r="L119" s="120" t="s">
        <v>227</v>
      </c>
      <c r="M119" s="122">
        <v>45974.0</v>
      </c>
      <c r="N119" s="120" t="s">
        <v>258</v>
      </c>
      <c r="O119" s="120" t="s">
        <v>718</v>
      </c>
      <c r="P119" s="57"/>
      <c r="Q119" s="89"/>
      <c r="R119" s="10"/>
      <c r="S119" s="10"/>
      <c r="T119" s="10"/>
      <c r="U119" s="10"/>
      <c r="V119" s="10"/>
      <c r="W119" s="10"/>
      <c r="X119" s="10"/>
      <c r="Y119" s="10"/>
      <c r="Z119" s="10"/>
    </row>
    <row r="120" ht="12.75" customHeight="1">
      <c r="A120" s="116" t="s">
        <v>54</v>
      </c>
      <c r="B120" s="117"/>
      <c r="C120" s="117"/>
      <c r="D120" s="117"/>
      <c r="E120" s="117"/>
      <c r="F120" s="117"/>
      <c r="G120" s="117"/>
      <c r="H120" s="117"/>
      <c r="I120" s="117"/>
      <c r="J120" s="117"/>
      <c r="K120" s="117"/>
      <c r="L120" s="117"/>
      <c r="M120" s="117"/>
      <c r="N120" s="117"/>
      <c r="O120" s="117"/>
      <c r="P120" s="57"/>
      <c r="Q120" s="89"/>
      <c r="R120" s="10"/>
      <c r="S120" s="10"/>
      <c r="T120" s="10"/>
      <c r="U120" s="10"/>
      <c r="V120" s="10"/>
      <c r="W120" s="10"/>
      <c r="X120" s="10"/>
      <c r="Y120" s="10"/>
      <c r="Z120" s="10"/>
    </row>
    <row r="121" ht="12.75" customHeight="1">
      <c r="A121" s="120" t="s">
        <v>729</v>
      </c>
      <c r="B121" s="120" t="s">
        <v>730</v>
      </c>
      <c r="C121" s="120" t="s">
        <v>731</v>
      </c>
      <c r="D121" s="120" t="s">
        <v>732</v>
      </c>
      <c r="E121" s="120" t="s">
        <v>733</v>
      </c>
      <c r="F121" s="120" t="s">
        <v>227</v>
      </c>
      <c r="G121" s="122">
        <v>45916.0</v>
      </c>
      <c r="H121" s="120" t="s">
        <v>258</v>
      </c>
      <c r="I121" s="120" t="s">
        <v>227</v>
      </c>
      <c r="J121" s="122">
        <v>45954.0</v>
      </c>
      <c r="K121" s="120" t="s">
        <v>259</v>
      </c>
      <c r="L121" s="120" t="s">
        <v>227</v>
      </c>
      <c r="M121" s="122">
        <v>45974.0</v>
      </c>
      <c r="N121" s="120" t="s">
        <v>258</v>
      </c>
      <c r="O121" s="123"/>
      <c r="P121" s="57"/>
      <c r="Q121" s="89"/>
      <c r="R121" s="10"/>
      <c r="S121" s="10"/>
      <c r="T121" s="10"/>
      <c r="U121" s="10"/>
      <c r="V121" s="10"/>
      <c r="W121" s="10"/>
      <c r="X121" s="10"/>
      <c r="Y121" s="10"/>
      <c r="Z121" s="10"/>
    </row>
    <row r="122" ht="12.75" customHeight="1">
      <c r="A122" s="120" t="s">
        <v>734</v>
      </c>
      <c r="B122" s="120" t="s">
        <v>735</v>
      </c>
      <c r="C122" s="120" t="s">
        <v>736</v>
      </c>
      <c r="D122" s="120" t="s">
        <v>737</v>
      </c>
      <c r="E122" s="120" t="s">
        <v>738</v>
      </c>
      <c r="F122" s="120" t="s">
        <v>228</v>
      </c>
      <c r="G122" s="122">
        <v>45916.0</v>
      </c>
      <c r="H122" s="120" t="s">
        <v>258</v>
      </c>
      <c r="I122" s="120" t="s">
        <v>227</v>
      </c>
      <c r="J122" s="122">
        <v>45954.0</v>
      </c>
      <c r="K122" s="120" t="s">
        <v>259</v>
      </c>
      <c r="L122" s="120" t="s">
        <v>227</v>
      </c>
      <c r="M122" s="122">
        <v>45974.0</v>
      </c>
      <c r="N122" s="120" t="s">
        <v>258</v>
      </c>
      <c r="O122" s="120" t="s">
        <v>718</v>
      </c>
      <c r="P122" s="57"/>
      <c r="Q122" s="89"/>
      <c r="R122" s="10"/>
      <c r="S122" s="10"/>
      <c r="T122" s="10"/>
      <c r="U122" s="10"/>
      <c r="V122" s="10"/>
      <c r="W122" s="10"/>
      <c r="X122" s="10"/>
      <c r="Y122" s="10"/>
      <c r="Z122" s="10"/>
    </row>
    <row r="123" ht="12.75" customHeight="1">
      <c r="A123" s="120" t="s">
        <v>739</v>
      </c>
      <c r="B123" s="125" t="s">
        <v>740</v>
      </c>
      <c r="C123" s="125" t="s">
        <v>741</v>
      </c>
      <c r="D123" s="125" t="s">
        <v>742</v>
      </c>
      <c r="E123" s="125" t="s">
        <v>743</v>
      </c>
      <c r="F123" s="120" t="s">
        <v>228</v>
      </c>
      <c r="G123" s="122">
        <v>45916.0</v>
      </c>
      <c r="H123" s="120" t="s">
        <v>258</v>
      </c>
      <c r="I123" s="120" t="s">
        <v>227</v>
      </c>
      <c r="J123" s="122">
        <v>45954.0</v>
      </c>
      <c r="K123" s="120" t="s">
        <v>259</v>
      </c>
      <c r="L123" s="120" t="s">
        <v>227</v>
      </c>
      <c r="M123" s="122">
        <v>45974.0</v>
      </c>
      <c r="N123" s="120" t="s">
        <v>258</v>
      </c>
      <c r="O123" s="120"/>
      <c r="P123" s="57"/>
      <c r="Q123" s="89"/>
      <c r="R123" s="10"/>
      <c r="S123" s="10"/>
      <c r="T123" s="10"/>
      <c r="U123" s="10"/>
      <c r="V123" s="10"/>
      <c r="W123" s="10"/>
      <c r="X123" s="10"/>
      <c r="Y123" s="10"/>
      <c r="Z123" s="10"/>
    </row>
    <row r="124" ht="12.75" customHeight="1">
      <c r="A124" s="116" t="s">
        <v>744</v>
      </c>
      <c r="B124" s="117"/>
      <c r="C124" s="117"/>
      <c r="D124" s="117"/>
      <c r="E124" s="117"/>
      <c r="F124" s="117"/>
      <c r="G124" s="117"/>
      <c r="H124" s="117"/>
      <c r="I124" s="117"/>
      <c r="J124" s="117"/>
      <c r="K124" s="117"/>
      <c r="L124" s="117"/>
      <c r="M124" s="117"/>
      <c r="N124" s="117"/>
      <c r="O124" s="117"/>
      <c r="P124" s="57"/>
      <c r="Q124" s="89"/>
      <c r="R124" s="10"/>
      <c r="S124" s="10"/>
      <c r="T124" s="10"/>
      <c r="U124" s="10"/>
      <c r="V124" s="10"/>
      <c r="W124" s="10"/>
      <c r="X124" s="10"/>
      <c r="Y124" s="10"/>
      <c r="Z124" s="10"/>
    </row>
    <row r="125" ht="12.75" customHeight="1">
      <c r="A125" s="126" t="s">
        <v>745</v>
      </c>
      <c r="B125" s="125" t="s">
        <v>746</v>
      </c>
      <c r="C125" s="125" t="s">
        <v>747</v>
      </c>
      <c r="D125" s="125" t="s">
        <v>748</v>
      </c>
      <c r="E125" s="125" t="s">
        <v>743</v>
      </c>
      <c r="F125" s="120" t="s">
        <v>228</v>
      </c>
      <c r="G125" s="122">
        <v>45916.0</v>
      </c>
      <c r="H125" s="120" t="s">
        <v>749</v>
      </c>
      <c r="I125" s="120" t="s">
        <v>228</v>
      </c>
      <c r="J125" s="122">
        <v>45954.0</v>
      </c>
      <c r="K125" s="120" t="s">
        <v>259</v>
      </c>
      <c r="L125" s="120" t="s">
        <v>227</v>
      </c>
      <c r="M125" s="122">
        <v>45974.0</v>
      </c>
      <c r="N125" s="120" t="s">
        <v>258</v>
      </c>
      <c r="O125" s="120"/>
      <c r="P125" s="57"/>
      <c r="Q125" s="89"/>
      <c r="R125" s="10"/>
      <c r="S125" s="10"/>
      <c r="T125" s="10"/>
      <c r="U125" s="10"/>
      <c r="V125" s="10"/>
      <c r="W125" s="10"/>
      <c r="X125" s="10"/>
      <c r="Y125" s="10"/>
      <c r="Z125" s="10"/>
    </row>
    <row r="126" ht="12.75" customHeight="1">
      <c r="A126" s="126" t="s">
        <v>750</v>
      </c>
      <c r="B126" s="120" t="s">
        <v>751</v>
      </c>
      <c r="C126" s="120" t="s">
        <v>752</v>
      </c>
      <c r="D126" s="120" t="s">
        <v>753</v>
      </c>
      <c r="E126" s="120" t="s">
        <v>754</v>
      </c>
      <c r="F126" s="120" t="s">
        <v>227</v>
      </c>
      <c r="G126" s="122">
        <v>45916.0</v>
      </c>
      <c r="H126" s="120" t="s">
        <v>749</v>
      </c>
      <c r="I126" s="120" t="s">
        <v>227</v>
      </c>
      <c r="J126" s="122">
        <v>45954.0</v>
      </c>
      <c r="K126" s="120" t="s">
        <v>259</v>
      </c>
      <c r="L126" s="120" t="s">
        <v>227</v>
      </c>
      <c r="M126" s="122">
        <v>45974.0</v>
      </c>
      <c r="N126" s="120" t="s">
        <v>258</v>
      </c>
      <c r="O126" s="120"/>
      <c r="P126" s="57"/>
      <c r="Q126" s="89"/>
      <c r="R126" s="10"/>
      <c r="S126" s="10"/>
      <c r="T126" s="10"/>
      <c r="U126" s="10"/>
      <c r="V126" s="10"/>
      <c r="W126" s="10"/>
      <c r="X126" s="10"/>
      <c r="Y126" s="10"/>
      <c r="Z126" s="10"/>
    </row>
    <row r="127" ht="12.75" customHeight="1">
      <c r="A127" s="126" t="s">
        <v>755</v>
      </c>
      <c r="B127" s="120" t="s">
        <v>756</v>
      </c>
      <c r="C127" s="120" t="s">
        <v>757</v>
      </c>
      <c r="D127" s="120" t="s">
        <v>753</v>
      </c>
      <c r="E127" s="120" t="s">
        <v>758</v>
      </c>
      <c r="F127" s="120" t="s">
        <v>228</v>
      </c>
      <c r="G127" s="122">
        <v>45916.0</v>
      </c>
      <c r="H127" s="120" t="s">
        <v>749</v>
      </c>
      <c r="I127" s="120" t="s">
        <v>227</v>
      </c>
      <c r="J127" s="122">
        <v>45954.0</v>
      </c>
      <c r="K127" s="120" t="s">
        <v>259</v>
      </c>
      <c r="L127" s="120" t="s">
        <v>227</v>
      </c>
      <c r="M127" s="122">
        <v>45974.0</v>
      </c>
      <c r="N127" s="120" t="s">
        <v>258</v>
      </c>
      <c r="O127" s="120"/>
      <c r="P127" s="57"/>
      <c r="Q127" s="89"/>
      <c r="R127" s="10"/>
      <c r="S127" s="10"/>
      <c r="T127" s="10"/>
      <c r="U127" s="10"/>
      <c r="V127" s="10"/>
      <c r="W127" s="10"/>
      <c r="X127" s="10"/>
      <c r="Y127" s="10"/>
      <c r="Z127" s="10"/>
    </row>
    <row r="128" ht="12.75" customHeight="1">
      <c r="A128" s="126" t="s">
        <v>759</v>
      </c>
      <c r="B128" s="120" t="s">
        <v>760</v>
      </c>
      <c r="C128" s="120" t="s">
        <v>761</v>
      </c>
      <c r="D128" s="120" t="s">
        <v>762</v>
      </c>
      <c r="E128" s="120" t="s">
        <v>763</v>
      </c>
      <c r="F128" s="120" t="s">
        <v>227</v>
      </c>
      <c r="G128" s="122">
        <v>45916.0</v>
      </c>
      <c r="H128" s="120" t="s">
        <v>749</v>
      </c>
      <c r="I128" s="120" t="s">
        <v>227</v>
      </c>
      <c r="J128" s="122">
        <v>45954.0</v>
      </c>
      <c r="K128" s="120" t="s">
        <v>259</v>
      </c>
      <c r="L128" s="120" t="s">
        <v>227</v>
      </c>
      <c r="M128" s="122">
        <v>45974.0</v>
      </c>
      <c r="N128" s="120" t="s">
        <v>258</v>
      </c>
      <c r="O128" s="120"/>
      <c r="P128" s="57"/>
      <c r="Q128" s="89"/>
      <c r="R128" s="10"/>
      <c r="S128" s="10"/>
      <c r="T128" s="10"/>
      <c r="U128" s="10"/>
      <c r="V128" s="10"/>
      <c r="W128" s="10"/>
      <c r="X128" s="10"/>
      <c r="Y128" s="10"/>
      <c r="Z128" s="10"/>
    </row>
    <row r="129" ht="12.75" customHeight="1">
      <c r="A129" s="126" t="s">
        <v>764</v>
      </c>
      <c r="B129" s="120" t="s">
        <v>765</v>
      </c>
      <c r="C129" s="120" t="s">
        <v>766</v>
      </c>
      <c r="D129" s="120" t="s">
        <v>767</v>
      </c>
      <c r="E129" s="120" t="s">
        <v>768</v>
      </c>
      <c r="F129" s="120" t="s">
        <v>227</v>
      </c>
      <c r="G129" s="122">
        <v>45916.0</v>
      </c>
      <c r="H129" s="120" t="s">
        <v>749</v>
      </c>
      <c r="I129" s="120" t="s">
        <v>227</v>
      </c>
      <c r="J129" s="122">
        <v>45954.0</v>
      </c>
      <c r="K129" s="120" t="s">
        <v>259</v>
      </c>
      <c r="L129" s="120" t="s">
        <v>227</v>
      </c>
      <c r="M129" s="122">
        <v>45974.0</v>
      </c>
      <c r="N129" s="120" t="s">
        <v>258</v>
      </c>
      <c r="O129" s="120"/>
      <c r="P129" s="57"/>
      <c r="Q129" s="89"/>
      <c r="R129" s="10"/>
      <c r="S129" s="10"/>
      <c r="T129" s="10"/>
      <c r="U129" s="10"/>
      <c r="V129" s="10"/>
      <c r="W129" s="10"/>
      <c r="X129" s="10"/>
      <c r="Y129" s="10"/>
      <c r="Z129" s="10"/>
    </row>
    <row r="130" ht="12.75" customHeight="1">
      <c r="A130" s="126" t="s">
        <v>769</v>
      </c>
      <c r="B130" s="120" t="s">
        <v>770</v>
      </c>
      <c r="C130" s="120" t="s">
        <v>771</v>
      </c>
      <c r="D130" s="120" t="s">
        <v>772</v>
      </c>
      <c r="E130" s="120" t="s">
        <v>773</v>
      </c>
      <c r="F130" s="120" t="s">
        <v>227</v>
      </c>
      <c r="G130" s="122">
        <v>45916.0</v>
      </c>
      <c r="H130" s="120" t="s">
        <v>749</v>
      </c>
      <c r="I130" s="120" t="s">
        <v>227</v>
      </c>
      <c r="J130" s="122">
        <v>45954.0</v>
      </c>
      <c r="K130" s="120" t="s">
        <v>259</v>
      </c>
      <c r="L130" s="120" t="s">
        <v>228</v>
      </c>
      <c r="M130" s="122">
        <v>45974.0</v>
      </c>
      <c r="N130" s="120" t="s">
        <v>258</v>
      </c>
      <c r="O130" s="120"/>
      <c r="P130" s="57"/>
      <c r="Q130" s="89"/>
      <c r="R130" s="10"/>
      <c r="S130" s="10"/>
      <c r="T130" s="10"/>
      <c r="U130" s="10"/>
      <c r="V130" s="10"/>
      <c r="W130" s="10"/>
      <c r="X130" s="10"/>
      <c r="Y130" s="10"/>
      <c r="Z130" s="10"/>
    </row>
    <row r="131" ht="12.75" customHeight="1">
      <c r="A131" s="84"/>
      <c r="B131" s="84"/>
      <c r="C131" s="84"/>
      <c r="D131" s="84"/>
      <c r="E131" s="84"/>
      <c r="F131" s="84"/>
      <c r="G131" s="84"/>
      <c r="H131" s="84"/>
      <c r="I131" s="84"/>
      <c r="J131" s="84"/>
      <c r="K131" s="84"/>
      <c r="L131" s="84"/>
      <c r="M131" s="84"/>
      <c r="N131" s="84"/>
      <c r="O131" s="84"/>
      <c r="P131" s="10"/>
      <c r="Q131" s="8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8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8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8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8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8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8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8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8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8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8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8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8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8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8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8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8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8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8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8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8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8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8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8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8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8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8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8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8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8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8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8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8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8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8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8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8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8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8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8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8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8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8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8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8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8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8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8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8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8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8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8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8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8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8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8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8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8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8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8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8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8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8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8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8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8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8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8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8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8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8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8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8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8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8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8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8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8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8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8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8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8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8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8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8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8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8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8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8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8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8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8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8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8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8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8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8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8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8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8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8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8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8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8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8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8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8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8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8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8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8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8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8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8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8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8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8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8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8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8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8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8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8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8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8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8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8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8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8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8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8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8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8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8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8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8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8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8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8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8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8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8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8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8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8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8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8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8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8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8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8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8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8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8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8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8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8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8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8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8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8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8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8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8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8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8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8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8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8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8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8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8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8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8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8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8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8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8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8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8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8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8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8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8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8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8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8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8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8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8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8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8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8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8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8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8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8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8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8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8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8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8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8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8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8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8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8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8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8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8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8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8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8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8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8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8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8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8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8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8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8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8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8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8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8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8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8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8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8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8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8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8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8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8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8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8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8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8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8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8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8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8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8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8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8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8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8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8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8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8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8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8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8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8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8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8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8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8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8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8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8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8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8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8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8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8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8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8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8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8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8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8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8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8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8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8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8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8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8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8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8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8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8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8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8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8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8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8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8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8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8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8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8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8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8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8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8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8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8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8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8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8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8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8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8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8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8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8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8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8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8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8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8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8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8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8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8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8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8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8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8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8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8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8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8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8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8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8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8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8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8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8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8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8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8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8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8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8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8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8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8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8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8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8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8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8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8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8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8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8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8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8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8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8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8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8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8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8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8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8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8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8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8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8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8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8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8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8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8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8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8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8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8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8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8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8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8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8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8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8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8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8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8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8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8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8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8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8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8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8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8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8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8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8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8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8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8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8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8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8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8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8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8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8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8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8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8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8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8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8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8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8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8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8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8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8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8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8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8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8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8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8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8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8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8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8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8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8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8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8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8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8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8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8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8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8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8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8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8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8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8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8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8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8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8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8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8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8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8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8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8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8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8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8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8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8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8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8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8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8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8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8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8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8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8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8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8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8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8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8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8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8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8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8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8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8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8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8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8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8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8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8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8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8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8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8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8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8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8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8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8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8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8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8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8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8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8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8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8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8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8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8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8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8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8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8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8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8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8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8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8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8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8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8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8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8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8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8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8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8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8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8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8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8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8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8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8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8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8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8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8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8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8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8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8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8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8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8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8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8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8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8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8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8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8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8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8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8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8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8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8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8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8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8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8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8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8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8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8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8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8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8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8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8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8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8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8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8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8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8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8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8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8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8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8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8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8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8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8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8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8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8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8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8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8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8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8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8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8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8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8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8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8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8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8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8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8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8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8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8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8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8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8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8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8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8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8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8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8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8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8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8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8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8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8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8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8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8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8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8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8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8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8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8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8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8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8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8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8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8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8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8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8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8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8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8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8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8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8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8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8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8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8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8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8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8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8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8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8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8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8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8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8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8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8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8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8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8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8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8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8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8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8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8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8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8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8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8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8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8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8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8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8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8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8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8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8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8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8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8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8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8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8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8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8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8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8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8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8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8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8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8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8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8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8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8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8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8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8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8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8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8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8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8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8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8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8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8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8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8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8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8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8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8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8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8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8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8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8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8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8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8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8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8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8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8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8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8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8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8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8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8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8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8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8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8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8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8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8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8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8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8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8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8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8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8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8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8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8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8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8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8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8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8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8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8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8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8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8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8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8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8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8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8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8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8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8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8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8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8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8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8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8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8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8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8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8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8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8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8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89"/>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89"/>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89"/>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89"/>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89"/>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89"/>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89"/>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89"/>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89"/>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89"/>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89"/>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89"/>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89"/>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89"/>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89"/>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89"/>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89"/>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89"/>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89"/>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89"/>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89"/>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89"/>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89"/>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89"/>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89"/>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89"/>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89"/>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89"/>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89"/>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89"/>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89"/>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89"/>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89"/>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89"/>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89"/>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89"/>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89"/>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89"/>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89"/>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89"/>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89"/>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89"/>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89"/>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89"/>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89"/>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89"/>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89"/>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89"/>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89"/>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89"/>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89"/>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89"/>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89"/>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89"/>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89"/>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89"/>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89"/>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89"/>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89"/>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89"/>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89"/>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89"/>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89"/>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89"/>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89"/>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89"/>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89"/>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89"/>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89"/>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89"/>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89"/>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89"/>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89"/>
      <c r="R983" s="10"/>
      <c r="S983" s="10"/>
      <c r="T983" s="10"/>
      <c r="U983" s="10"/>
      <c r="V983" s="10"/>
      <c r="W983" s="10"/>
      <c r="X983" s="10"/>
      <c r="Y983" s="10"/>
      <c r="Z983" s="10"/>
    </row>
  </sheetData>
  <mergeCells count="3">
    <mergeCell ref="B2:E2"/>
    <mergeCell ref="B3:E3"/>
    <mergeCell ref="B4:E4"/>
  </mergeCells>
  <dataValidations>
    <dataValidation type="list" allowBlank="1" showErrorMessage="1" sqref="F115 I115 L115 F120 I120 L120 F124 I124 L124">
      <formula1>'Authentication &amp; Authorization'!$R$2:$R$5</formula1>
    </dataValidation>
    <dataValidation type="list" allowBlank="1" showErrorMessage="1" sqref="G2:G3 J2:J3 M2:M3 G9 J9 M9 F12:F105 I12:I105 L12:L105 F107:F114 I107:I114 L107:L114 F116:F119 I116:I119 L116:L119 F121:F123 I121:I123 L121:L123 F125:F130 I125:I130 L125:L130">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8.88" outlineLevel="1"/>
    <col customWidth="1" min="9" max="9" width="9.38"/>
    <col customWidth="1" min="10" max="10" width="10.63" outlineLevel="1"/>
    <col customWidth="1" min="11" max="11" width="11.0" outlineLevel="1"/>
    <col customWidth="1" min="12" max="12" width="9.38"/>
    <col customWidth="1" min="13" max="13" width="10.63" outlineLevel="1"/>
    <col customWidth="1" min="14" max="14" width="8.88"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89"/>
      <c r="R1" s="10"/>
      <c r="S1" s="10"/>
      <c r="T1" s="10"/>
      <c r="U1" s="10"/>
      <c r="V1" s="10"/>
      <c r="W1" s="10"/>
      <c r="X1" s="10"/>
      <c r="Y1" s="10"/>
      <c r="Z1" s="10"/>
    </row>
    <row r="2" ht="15.0" customHeight="1">
      <c r="A2" s="90" t="s">
        <v>236</v>
      </c>
      <c r="B2" s="91" t="s">
        <v>774</v>
      </c>
      <c r="C2" s="92"/>
      <c r="D2" s="92"/>
      <c r="E2" s="93"/>
      <c r="F2" s="94"/>
      <c r="G2" s="95"/>
      <c r="H2" s="40"/>
      <c r="I2" s="94"/>
      <c r="J2" s="95"/>
      <c r="K2" s="40"/>
      <c r="L2" s="94"/>
      <c r="M2" s="95"/>
      <c r="N2" s="40"/>
      <c r="O2" s="40"/>
      <c r="P2" s="40"/>
      <c r="Q2" s="96"/>
      <c r="R2" s="97" t="s">
        <v>227</v>
      </c>
      <c r="S2" s="97"/>
      <c r="T2" s="97"/>
      <c r="U2" s="97"/>
      <c r="V2" s="97"/>
      <c r="W2" s="97"/>
      <c r="X2" s="97"/>
      <c r="Y2" s="97"/>
      <c r="Z2" s="97"/>
    </row>
    <row r="3" ht="12.75" customHeight="1">
      <c r="A3" s="98" t="s">
        <v>237</v>
      </c>
      <c r="B3" s="99" t="s">
        <v>775</v>
      </c>
      <c r="C3" s="5"/>
      <c r="D3" s="5"/>
      <c r="E3" s="100"/>
      <c r="F3" s="94"/>
      <c r="G3" s="95"/>
      <c r="H3" s="40"/>
      <c r="I3" s="94"/>
      <c r="J3" s="95"/>
      <c r="K3" s="40"/>
      <c r="L3" s="94"/>
      <c r="M3" s="95"/>
      <c r="N3" s="40"/>
      <c r="O3" s="40"/>
      <c r="P3" s="40"/>
      <c r="Q3" s="96"/>
      <c r="R3" s="97" t="s">
        <v>228</v>
      </c>
      <c r="S3" s="97"/>
      <c r="T3" s="97"/>
      <c r="U3" s="97"/>
      <c r="V3" s="97"/>
      <c r="W3" s="97"/>
      <c r="X3" s="97"/>
      <c r="Y3" s="97"/>
      <c r="Z3" s="97"/>
    </row>
    <row r="4" ht="18.0" customHeight="1">
      <c r="A4" s="98" t="s">
        <v>239</v>
      </c>
      <c r="B4" s="127">
        <f>COUNTA(A12:A916)-8</f>
        <v>44</v>
      </c>
      <c r="C4" s="5"/>
      <c r="D4" s="5"/>
      <c r="E4" s="100"/>
      <c r="F4" s="94"/>
      <c r="G4" s="95"/>
      <c r="H4" s="40"/>
      <c r="I4" s="94"/>
      <c r="J4" s="95"/>
      <c r="K4" s="40"/>
      <c r="L4" s="94"/>
      <c r="M4" s="95"/>
      <c r="N4" s="40"/>
      <c r="O4" s="40"/>
      <c r="P4" s="40"/>
      <c r="Q4" s="96"/>
      <c r="R4" s="97" t="s">
        <v>229</v>
      </c>
      <c r="S4" s="97"/>
      <c r="T4" s="97"/>
      <c r="U4" s="97"/>
      <c r="V4" s="97"/>
      <c r="W4" s="97"/>
      <c r="X4" s="97"/>
      <c r="Y4" s="97"/>
      <c r="Z4" s="97"/>
    </row>
    <row r="5" ht="19.5" customHeight="1">
      <c r="A5" s="101" t="s">
        <v>240</v>
      </c>
      <c r="B5" s="102" t="s">
        <v>227</v>
      </c>
      <c r="C5" s="102" t="s">
        <v>228</v>
      </c>
      <c r="D5" s="102" t="s">
        <v>229</v>
      </c>
      <c r="E5" s="103" t="s">
        <v>230</v>
      </c>
      <c r="F5" s="104"/>
      <c r="G5" s="104"/>
      <c r="H5" s="105"/>
      <c r="I5" s="104"/>
      <c r="J5" s="104"/>
      <c r="K5" s="105"/>
      <c r="L5" s="104"/>
      <c r="M5" s="104"/>
      <c r="N5" s="105"/>
      <c r="O5" s="105"/>
      <c r="P5" s="105"/>
      <c r="Q5" s="106"/>
      <c r="R5" s="97" t="s">
        <v>230</v>
      </c>
      <c r="S5" s="97"/>
      <c r="T5" s="97"/>
      <c r="U5" s="97"/>
      <c r="V5" s="97"/>
      <c r="W5" s="97"/>
      <c r="X5" s="97"/>
      <c r="Y5" s="97"/>
      <c r="Z5" s="97"/>
    </row>
    <row r="6" ht="15.0" customHeight="1">
      <c r="A6" s="101" t="s">
        <v>241</v>
      </c>
      <c r="B6" s="107">
        <f t="shared" ref="B6:E6" si="1">COUNTIF($F10:$F914,B5)</f>
        <v>39</v>
      </c>
      <c r="C6" s="107">
        <f t="shared" si="1"/>
        <v>4</v>
      </c>
      <c r="D6" s="107">
        <f t="shared" si="1"/>
        <v>0</v>
      </c>
      <c r="E6" s="108">
        <f t="shared" si="1"/>
        <v>1</v>
      </c>
      <c r="F6" s="109"/>
      <c r="G6" s="109"/>
      <c r="H6" s="105"/>
      <c r="I6" s="109"/>
      <c r="J6" s="109"/>
      <c r="K6" s="105"/>
      <c r="L6" s="109"/>
      <c r="M6" s="109"/>
      <c r="N6" s="105"/>
      <c r="O6" s="105"/>
      <c r="P6" s="105"/>
      <c r="Q6" s="106"/>
      <c r="R6" s="97"/>
      <c r="S6" s="97"/>
      <c r="T6" s="97"/>
      <c r="U6" s="97"/>
      <c r="V6" s="97"/>
      <c r="W6" s="97"/>
      <c r="X6" s="97"/>
      <c r="Y6" s="97"/>
      <c r="Z6" s="97"/>
    </row>
    <row r="7" ht="15.0" customHeight="1">
      <c r="A7" s="101" t="s">
        <v>242</v>
      </c>
      <c r="B7" s="107">
        <f t="shared" ref="B7:C7" si="2">COUNTIF($I10:$I914,B5)</f>
        <v>39</v>
      </c>
      <c r="C7" s="107">
        <f t="shared" si="2"/>
        <v>3</v>
      </c>
      <c r="D7" s="107">
        <f t="shared" ref="D7:E7" si="3">COUNTIF($F10:$F914,D5)</f>
        <v>0</v>
      </c>
      <c r="E7" s="108">
        <f t="shared" si="3"/>
        <v>1</v>
      </c>
      <c r="F7" s="109"/>
      <c r="G7" s="109"/>
      <c r="H7" s="105"/>
      <c r="I7" s="109"/>
      <c r="J7" s="109"/>
      <c r="K7" s="105"/>
      <c r="L7" s="109"/>
      <c r="M7" s="109"/>
      <c r="N7" s="105"/>
      <c r="O7" s="105"/>
      <c r="P7" s="105"/>
      <c r="Q7" s="106"/>
      <c r="R7" s="97"/>
      <c r="S7" s="97"/>
      <c r="T7" s="97"/>
      <c r="U7" s="97"/>
      <c r="V7" s="97"/>
      <c r="W7" s="97"/>
      <c r="X7" s="97"/>
      <c r="Y7" s="97"/>
      <c r="Z7" s="97"/>
    </row>
    <row r="8" ht="15.0" customHeight="1">
      <c r="A8" s="110" t="s">
        <v>243</v>
      </c>
      <c r="B8" s="111">
        <f t="shared" ref="B8:C8" si="4">COUNTIF($L10:$L914,B5)</f>
        <v>41</v>
      </c>
      <c r="C8" s="111">
        <f t="shared" si="4"/>
        <v>0</v>
      </c>
      <c r="D8" s="111">
        <f t="shared" ref="D8:E8" si="5">COUNTIF($F10:$F914,D5)</f>
        <v>0</v>
      </c>
      <c r="E8" s="112">
        <f t="shared" si="5"/>
        <v>1</v>
      </c>
      <c r="F8" s="109"/>
      <c r="G8" s="109"/>
      <c r="H8" s="105"/>
      <c r="I8" s="109"/>
      <c r="J8" s="109"/>
      <c r="K8" s="105"/>
      <c r="L8" s="109"/>
      <c r="M8" s="109"/>
      <c r="N8" s="105"/>
      <c r="O8" s="105"/>
      <c r="P8" s="105"/>
      <c r="Q8" s="106"/>
      <c r="R8" s="97"/>
      <c r="S8" s="97"/>
      <c r="T8" s="97"/>
      <c r="U8" s="97"/>
      <c r="V8" s="97"/>
      <c r="W8" s="97"/>
      <c r="X8" s="97"/>
      <c r="Y8" s="97"/>
      <c r="Z8" s="97"/>
    </row>
    <row r="9" ht="15.0" customHeight="1">
      <c r="A9" s="105"/>
      <c r="B9" s="105"/>
      <c r="C9" s="105"/>
      <c r="D9" s="105"/>
      <c r="E9" s="105"/>
      <c r="F9" s="88"/>
      <c r="G9" s="105"/>
      <c r="H9" s="105"/>
      <c r="I9" s="88"/>
      <c r="J9" s="105"/>
      <c r="K9" s="105"/>
      <c r="L9" s="88"/>
      <c r="M9" s="105"/>
      <c r="N9" s="105"/>
      <c r="O9" s="105"/>
      <c r="P9" s="105"/>
      <c r="Q9" s="106"/>
      <c r="R9" s="97"/>
      <c r="S9" s="97"/>
      <c r="T9" s="97"/>
      <c r="U9" s="97"/>
      <c r="V9" s="97"/>
      <c r="W9" s="97"/>
      <c r="X9" s="97"/>
      <c r="Y9" s="97"/>
      <c r="Z9" s="97"/>
    </row>
    <row r="10" ht="25.5" customHeight="1">
      <c r="A10" s="114" t="s">
        <v>244</v>
      </c>
      <c r="B10" s="114" t="s">
        <v>245</v>
      </c>
      <c r="C10" s="114" t="s">
        <v>246</v>
      </c>
      <c r="D10" s="114" t="s">
        <v>247</v>
      </c>
      <c r="E10" s="114" t="s">
        <v>248</v>
      </c>
      <c r="F10" s="114" t="s">
        <v>241</v>
      </c>
      <c r="G10" s="114" t="s">
        <v>249</v>
      </c>
      <c r="H10" s="114" t="s">
        <v>250</v>
      </c>
      <c r="I10" s="114" t="s">
        <v>242</v>
      </c>
      <c r="J10" s="114" t="s">
        <v>249</v>
      </c>
      <c r="K10" s="114" t="s">
        <v>250</v>
      </c>
      <c r="L10" s="114" t="s">
        <v>243</v>
      </c>
      <c r="M10" s="114" t="s">
        <v>249</v>
      </c>
      <c r="N10" s="114" t="s">
        <v>250</v>
      </c>
      <c r="O10" s="114" t="s">
        <v>251</v>
      </c>
      <c r="P10" s="97"/>
      <c r="Q10" s="115"/>
      <c r="R10" s="97"/>
      <c r="S10" s="97"/>
      <c r="T10" s="97"/>
      <c r="U10" s="97"/>
      <c r="V10" s="97"/>
      <c r="W10" s="97"/>
      <c r="X10" s="97"/>
      <c r="Y10" s="97"/>
      <c r="Z10" s="97"/>
    </row>
    <row r="11" ht="15.75" customHeight="1">
      <c r="A11" s="116" t="s">
        <v>776</v>
      </c>
      <c r="B11" s="117"/>
      <c r="C11" s="117"/>
      <c r="D11" s="117"/>
      <c r="E11" s="117"/>
      <c r="F11" s="117"/>
      <c r="G11" s="117"/>
      <c r="H11" s="117"/>
      <c r="I11" s="117"/>
      <c r="J11" s="117"/>
      <c r="K11" s="117"/>
      <c r="L11" s="117"/>
      <c r="M11" s="117"/>
      <c r="N11" s="117"/>
      <c r="O11" s="117"/>
      <c r="P11" s="118"/>
      <c r="Q11" s="119"/>
      <c r="R11" s="97"/>
      <c r="S11" s="97"/>
      <c r="T11" s="97"/>
      <c r="U11" s="97"/>
      <c r="V11" s="97"/>
      <c r="W11" s="97"/>
      <c r="X11" s="97"/>
      <c r="Y11" s="97"/>
      <c r="Z11" s="97"/>
    </row>
    <row r="12" ht="120.75" customHeight="1" outlineLevel="1">
      <c r="A12" s="120" t="s">
        <v>777</v>
      </c>
      <c r="B12" s="128" t="s">
        <v>778</v>
      </c>
      <c r="C12" s="128" t="s">
        <v>779</v>
      </c>
      <c r="D12" s="129" t="s">
        <v>780</v>
      </c>
      <c r="E12" s="129" t="s">
        <v>781</v>
      </c>
      <c r="F12" s="120" t="s">
        <v>227</v>
      </c>
      <c r="G12" s="122">
        <v>45914.0</v>
      </c>
      <c r="H12" s="120" t="s">
        <v>749</v>
      </c>
      <c r="I12" s="120" t="s">
        <v>227</v>
      </c>
      <c r="J12" s="130">
        <v>45954.0</v>
      </c>
      <c r="K12" s="120" t="s">
        <v>782</v>
      </c>
      <c r="L12" s="120" t="s">
        <v>227</v>
      </c>
      <c r="M12" s="130">
        <v>45974.0</v>
      </c>
      <c r="N12" s="120" t="s">
        <v>749</v>
      </c>
      <c r="O12" s="123"/>
      <c r="P12" s="131"/>
      <c r="Q12" s="124"/>
      <c r="R12" s="132"/>
      <c r="S12" s="132"/>
      <c r="T12" s="132"/>
      <c r="U12" s="132"/>
      <c r="V12" s="132"/>
      <c r="W12" s="132"/>
      <c r="X12" s="132"/>
      <c r="Y12" s="132"/>
      <c r="Z12" s="132"/>
    </row>
    <row r="13" ht="59.25" customHeight="1" outlineLevel="1">
      <c r="A13" s="120" t="s">
        <v>783</v>
      </c>
      <c r="B13" s="120" t="s">
        <v>784</v>
      </c>
      <c r="C13" s="120" t="s">
        <v>785</v>
      </c>
      <c r="D13" s="133" t="s">
        <v>786</v>
      </c>
      <c r="E13" s="121" t="s">
        <v>787</v>
      </c>
      <c r="F13" s="120" t="s">
        <v>228</v>
      </c>
      <c r="G13" s="122">
        <v>45914.0</v>
      </c>
      <c r="H13" s="120" t="s">
        <v>749</v>
      </c>
      <c r="I13" s="120" t="s">
        <v>228</v>
      </c>
      <c r="J13" s="130">
        <v>45954.0</v>
      </c>
      <c r="K13" s="120" t="s">
        <v>782</v>
      </c>
      <c r="L13" s="120" t="s">
        <v>227</v>
      </c>
      <c r="M13" s="130">
        <v>45974.0</v>
      </c>
      <c r="N13" s="120" t="s">
        <v>749</v>
      </c>
      <c r="O13" s="120" t="s">
        <v>788</v>
      </c>
      <c r="P13" s="57"/>
      <c r="Q13" s="124"/>
      <c r="R13" s="10"/>
      <c r="S13" s="10"/>
      <c r="T13" s="10"/>
      <c r="U13" s="10"/>
      <c r="V13" s="10"/>
      <c r="W13" s="10"/>
      <c r="X13" s="10"/>
      <c r="Y13" s="10"/>
      <c r="Z13" s="10"/>
    </row>
    <row r="14" ht="12.75" customHeight="1" outlineLevel="1">
      <c r="A14" s="120" t="s">
        <v>789</v>
      </c>
      <c r="B14" s="120" t="s">
        <v>790</v>
      </c>
      <c r="C14" s="120" t="s">
        <v>791</v>
      </c>
      <c r="D14" s="133" t="s">
        <v>792</v>
      </c>
      <c r="E14" s="121" t="s">
        <v>793</v>
      </c>
      <c r="F14" s="120" t="s">
        <v>227</v>
      </c>
      <c r="G14" s="122">
        <v>45914.0</v>
      </c>
      <c r="H14" s="120" t="s">
        <v>749</v>
      </c>
      <c r="I14" s="120" t="s">
        <v>227</v>
      </c>
      <c r="J14" s="130">
        <v>45954.0</v>
      </c>
      <c r="K14" s="120" t="s">
        <v>782</v>
      </c>
      <c r="L14" s="120" t="s">
        <v>227</v>
      </c>
      <c r="M14" s="130">
        <v>45974.0</v>
      </c>
      <c r="N14" s="120" t="s">
        <v>749</v>
      </c>
      <c r="O14" s="123"/>
      <c r="P14" s="57"/>
      <c r="Q14" s="124"/>
      <c r="R14" s="10"/>
      <c r="S14" s="10"/>
      <c r="T14" s="10"/>
      <c r="U14" s="10"/>
      <c r="V14" s="10"/>
      <c r="W14" s="10"/>
      <c r="X14" s="10"/>
      <c r="Y14" s="10"/>
      <c r="Z14" s="10"/>
    </row>
    <row r="15" ht="12.75" customHeight="1" outlineLevel="1">
      <c r="A15" s="120" t="s">
        <v>794</v>
      </c>
      <c r="B15" s="120" t="s">
        <v>795</v>
      </c>
      <c r="C15" s="120" t="s">
        <v>796</v>
      </c>
      <c r="D15" s="121" t="s">
        <v>797</v>
      </c>
      <c r="E15" s="121" t="s">
        <v>798</v>
      </c>
      <c r="F15" s="120" t="s">
        <v>227</v>
      </c>
      <c r="G15" s="122">
        <v>45914.0</v>
      </c>
      <c r="H15" s="120" t="s">
        <v>749</v>
      </c>
      <c r="I15" s="120" t="s">
        <v>228</v>
      </c>
      <c r="J15" s="130">
        <v>45954.0</v>
      </c>
      <c r="K15" s="120" t="s">
        <v>782</v>
      </c>
      <c r="L15" s="120" t="s">
        <v>227</v>
      </c>
      <c r="M15" s="130">
        <v>45974.0</v>
      </c>
      <c r="N15" s="120" t="s">
        <v>749</v>
      </c>
      <c r="O15" s="123"/>
      <c r="P15" s="57"/>
      <c r="Q15" s="124"/>
      <c r="R15" s="10"/>
      <c r="S15" s="10"/>
      <c r="T15" s="10"/>
      <c r="U15" s="10"/>
      <c r="V15" s="10"/>
      <c r="W15" s="10"/>
      <c r="X15" s="10"/>
      <c r="Y15" s="10"/>
      <c r="Z15" s="10"/>
    </row>
    <row r="16" ht="12.75" customHeight="1" outlineLevel="1">
      <c r="A16" s="120" t="s">
        <v>799</v>
      </c>
      <c r="B16" s="120" t="s">
        <v>800</v>
      </c>
      <c r="C16" s="120" t="s">
        <v>801</v>
      </c>
      <c r="D16" s="121" t="s">
        <v>802</v>
      </c>
      <c r="E16" s="121" t="s">
        <v>803</v>
      </c>
      <c r="F16" s="120" t="s">
        <v>227</v>
      </c>
      <c r="G16" s="122">
        <v>45914.0</v>
      </c>
      <c r="H16" s="120" t="s">
        <v>749</v>
      </c>
      <c r="I16" s="120" t="s">
        <v>227</v>
      </c>
      <c r="J16" s="130">
        <v>45954.0</v>
      </c>
      <c r="K16" s="120" t="s">
        <v>782</v>
      </c>
      <c r="L16" s="120" t="s">
        <v>227</v>
      </c>
      <c r="M16" s="130">
        <v>45974.0</v>
      </c>
      <c r="N16" s="120" t="s">
        <v>749</v>
      </c>
      <c r="O16" s="123"/>
      <c r="P16" s="57"/>
      <c r="Q16" s="124"/>
      <c r="R16" s="10"/>
      <c r="S16" s="10"/>
      <c r="T16" s="10"/>
      <c r="U16" s="10"/>
      <c r="V16" s="10"/>
      <c r="W16" s="10"/>
      <c r="X16" s="10"/>
      <c r="Y16" s="10"/>
      <c r="Z16" s="10"/>
    </row>
    <row r="17" ht="65.25" customHeight="1" outlineLevel="1">
      <c r="A17" s="120" t="s">
        <v>804</v>
      </c>
      <c r="B17" s="120" t="s">
        <v>805</v>
      </c>
      <c r="C17" s="120" t="s">
        <v>806</v>
      </c>
      <c r="D17" s="133" t="s">
        <v>807</v>
      </c>
      <c r="E17" s="121" t="s">
        <v>781</v>
      </c>
      <c r="F17" s="120" t="s">
        <v>227</v>
      </c>
      <c r="G17" s="122">
        <v>45914.0</v>
      </c>
      <c r="H17" s="120" t="s">
        <v>749</v>
      </c>
      <c r="I17" s="120" t="s">
        <v>227</v>
      </c>
      <c r="J17" s="130">
        <v>45954.0</v>
      </c>
      <c r="K17" s="120" t="s">
        <v>782</v>
      </c>
      <c r="L17" s="120" t="s">
        <v>227</v>
      </c>
      <c r="M17" s="130">
        <v>45974.0</v>
      </c>
      <c r="N17" s="120" t="s">
        <v>749</v>
      </c>
      <c r="O17" s="123"/>
      <c r="P17" s="57"/>
      <c r="Q17" s="124"/>
      <c r="R17" s="10"/>
      <c r="S17" s="10"/>
      <c r="T17" s="10"/>
      <c r="U17" s="10"/>
      <c r="V17" s="10"/>
      <c r="W17" s="10"/>
      <c r="X17" s="10"/>
      <c r="Y17" s="10"/>
      <c r="Z17" s="10"/>
    </row>
    <row r="18" ht="65.25" customHeight="1" outlineLevel="1">
      <c r="A18" s="120" t="s">
        <v>808</v>
      </c>
      <c r="B18" s="120" t="s">
        <v>809</v>
      </c>
      <c r="C18" s="120" t="s">
        <v>810</v>
      </c>
      <c r="D18" s="133" t="s">
        <v>811</v>
      </c>
      <c r="E18" s="121" t="s">
        <v>781</v>
      </c>
      <c r="F18" s="120" t="s">
        <v>228</v>
      </c>
      <c r="G18" s="122">
        <v>45914.0</v>
      </c>
      <c r="H18" s="120" t="s">
        <v>749</v>
      </c>
      <c r="I18" s="120" t="s">
        <v>227</v>
      </c>
      <c r="J18" s="130">
        <v>45954.0</v>
      </c>
      <c r="K18" s="120" t="s">
        <v>782</v>
      </c>
      <c r="L18" s="120" t="s">
        <v>227</v>
      </c>
      <c r="M18" s="130">
        <v>45974.0</v>
      </c>
      <c r="N18" s="120" t="s">
        <v>749</v>
      </c>
      <c r="O18" s="120" t="s">
        <v>812</v>
      </c>
      <c r="P18" s="57"/>
      <c r="Q18" s="124"/>
      <c r="R18" s="10"/>
      <c r="S18" s="10"/>
      <c r="T18" s="10"/>
      <c r="U18" s="10"/>
      <c r="V18" s="10"/>
      <c r="W18" s="10"/>
      <c r="X18" s="10"/>
      <c r="Y18" s="10"/>
      <c r="Z18" s="10"/>
    </row>
    <row r="19" ht="15.75" customHeight="1">
      <c r="A19" s="116" t="s">
        <v>813</v>
      </c>
      <c r="B19" s="117"/>
      <c r="C19" s="117"/>
      <c r="D19" s="117"/>
      <c r="E19" s="117"/>
      <c r="F19" s="117"/>
      <c r="G19" s="117"/>
      <c r="H19" s="117"/>
      <c r="I19" s="117"/>
      <c r="J19" s="117"/>
      <c r="K19" s="117"/>
      <c r="L19" s="117"/>
      <c r="M19" s="117"/>
      <c r="N19" s="117"/>
      <c r="O19" s="117"/>
      <c r="P19" s="118"/>
      <c r="Q19" s="119"/>
      <c r="R19" s="97"/>
      <c r="S19" s="97"/>
      <c r="T19" s="97"/>
      <c r="U19" s="97"/>
      <c r="V19" s="97"/>
      <c r="W19" s="97"/>
      <c r="X19" s="97"/>
      <c r="Y19" s="97"/>
      <c r="Z19" s="97"/>
    </row>
    <row r="20" ht="123.75" customHeight="1" outlineLevel="1">
      <c r="A20" s="120" t="s">
        <v>814</v>
      </c>
      <c r="B20" s="120" t="s">
        <v>815</v>
      </c>
      <c r="C20" s="120" t="s">
        <v>816</v>
      </c>
      <c r="D20" s="121" t="s">
        <v>817</v>
      </c>
      <c r="E20" s="121" t="s">
        <v>818</v>
      </c>
      <c r="F20" s="120" t="s">
        <v>230</v>
      </c>
      <c r="G20" s="122">
        <v>45914.0</v>
      </c>
      <c r="H20" s="120" t="s">
        <v>749</v>
      </c>
      <c r="I20" s="120" t="s">
        <v>230</v>
      </c>
      <c r="J20" s="130">
        <v>45954.0</v>
      </c>
      <c r="K20" s="120" t="s">
        <v>782</v>
      </c>
      <c r="L20" s="120" t="s">
        <v>230</v>
      </c>
      <c r="M20" s="130">
        <v>45974.0</v>
      </c>
      <c r="N20" s="120" t="s">
        <v>749</v>
      </c>
      <c r="O20" s="123"/>
      <c r="P20" s="57"/>
      <c r="Q20" s="124"/>
      <c r="R20" s="10"/>
      <c r="S20" s="10"/>
      <c r="T20" s="10"/>
      <c r="U20" s="10"/>
      <c r="V20" s="10"/>
      <c r="W20" s="10"/>
      <c r="X20" s="10"/>
      <c r="Y20" s="10"/>
      <c r="Z20" s="10"/>
    </row>
    <row r="21" ht="123.75" customHeight="1" outlineLevel="1">
      <c r="A21" s="120" t="s">
        <v>819</v>
      </c>
      <c r="B21" s="120" t="s">
        <v>820</v>
      </c>
      <c r="C21" s="120" t="s">
        <v>821</v>
      </c>
      <c r="D21" s="121" t="s">
        <v>822</v>
      </c>
      <c r="E21" s="121" t="s">
        <v>781</v>
      </c>
      <c r="F21" s="120" t="s">
        <v>227</v>
      </c>
      <c r="G21" s="122">
        <v>45914.0</v>
      </c>
      <c r="H21" s="120" t="s">
        <v>749</v>
      </c>
      <c r="I21" s="120" t="s">
        <v>227</v>
      </c>
      <c r="J21" s="130">
        <v>45954.0</v>
      </c>
      <c r="K21" s="120" t="s">
        <v>782</v>
      </c>
      <c r="L21" s="120" t="s">
        <v>227</v>
      </c>
      <c r="M21" s="130">
        <v>45974.0</v>
      </c>
      <c r="N21" s="120" t="s">
        <v>749</v>
      </c>
      <c r="O21" s="123"/>
      <c r="P21" s="57"/>
      <c r="Q21" s="124"/>
      <c r="R21" s="10"/>
      <c r="S21" s="10"/>
      <c r="T21" s="10"/>
      <c r="U21" s="10"/>
      <c r="V21" s="10"/>
      <c r="W21" s="10"/>
      <c r="X21" s="10"/>
      <c r="Y21" s="10"/>
      <c r="Z21" s="10"/>
    </row>
    <row r="22" ht="123.75" customHeight="1" outlineLevel="1">
      <c r="A22" s="120" t="s">
        <v>823</v>
      </c>
      <c r="B22" s="120" t="s">
        <v>824</v>
      </c>
      <c r="C22" s="120" t="s">
        <v>825</v>
      </c>
      <c r="D22" s="121" t="s">
        <v>826</v>
      </c>
      <c r="E22" s="121" t="s">
        <v>781</v>
      </c>
      <c r="F22" s="120" t="s">
        <v>227</v>
      </c>
      <c r="G22" s="122">
        <v>45914.0</v>
      </c>
      <c r="H22" s="120" t="s">
        <v>749</v>
      </c>
      <c r="I22" s="120" t="s">
        <v>227</v>
      </c>
      <c r="J22" s="130">
        <v>45954.0</v>
      </c>
      <c r="K22" s="120" t="s">
        <v>782</v>
      </c>
      <c r="L22" s="120" t="s">
        <v>227</v>
      </c>
      <c r="M22" s="130">
        <v>45974.0</v>
      </c>
      <c r="N22" s="120" t="s">
        <v>749</v>
      </c>
      <c r="O22" s="123"/>
      <c r="P22" s="57"/>
      <c r="Q22" s="124"/>
      <c r="R22" s="10"/>
      <c r="S22" s="10"/>
      <c r="T22" s="10"/>
      <c r="U22" s="10"/>
      <c r="V22" s="10"/>
      <c r="W22" s="10"/>
      <c r="X22" s="10"/>
      <c r="Y22" s="10"/>
      <c r="Z22" s="10"/>
    </row>
    <row r="23" ht="123.75" customHeight="1" outlineLevel="1">
      <c r="A23" s="120" t="s">
        <v>827</v>
      </c>
      <c r="B23" s="120" t="s">
        <v>828</v>
      </c>
      <c r="C23" s="120" t="s">
        <v>829</v>
      </c>
      <c r="D23" s="121" t="s">
        <v>830</v>
      </c>
      <c r="E23" s="121" t="s">
        <v>831</v>
      </c>
      <c r="F23" s="120" t="s">
        <v>227</v>
      </c>
      <c r="G23" s="122">
        <v>45914.0</v>
      </c>
      <c r="H23" s="120" t="s">
        <v>749</v>
      </c>
      <c r="I23" s="120" t="s">
        <v>228</v>
      </c>
      <c r="J23" s="130">
        <v>45954.0</v>
      </c>
      <c r="K23" s="120" t="s">
        <v>782</v>
      </c>
      <c r="L23" s="120" t="s">
        <v>230</v>
      </c>
      <c r="M23" s="130">
        <v>45974.0</v>
      </c>
      <c r="N23" s="120" t="s">
        <v>749</v>
      </c>
      <c r="O23" s="123"/>
      <c r="P23" s="57"/>
      <c r="Q23" s="124"/>
      <c r="R23" s="10"/>
      <c r="S23" s="10"/>
      <c r="T23" s="10"/>
      <c r="U23" s="10"/>
      <c r="V23" s="10"/>
      <c r="W23" s="10"/>
      <c r="X23" s="10"/>
      <c r="Y23" s="10"/>
      <c r="Z23" s="10"/>
    </row>
    <row r="24" ht="123.75" customHeight="1" outlineLevel="1">
      <c r="A24" s="120" t="s">
        <v>832</v>
      </c>
      <c r="B24" s="120" t="s">
        <v>833</v>
      </c>
      <c r="C24" s="120" t="s">
        <v>834</v>
      </c>
      <c r="D24" s="121" t="s">
        <v>835</v>
      </c>
      <c r="E24" s="121" t="s">
        <v>836</v>
      </c>
      <c r="F24" s="120" t="s">
        <v>227</v>
      </c>
      <c r="G24" s="122">
        <v>45914.0</v>
      </c>
      <c r="H24" s="120" t="s">
        <v>749</v>
      </c>
      <c r="I24" s="120" t="s">
        <v>227</v>
      </c>
      <c r="J24" s="130">
        <v>45954.0</v>
      </c>
      <c r="K24" s="120" t="s">
        <v>782</v>
      </c>
      <c r="L24" s="120" t="s">
        <v>227</v>
      </c>
      <c r="M24" s="130">
        <v>45974.0</v>
      </c>
      <c r="N24" s="120" t="s">
        <v>749</v>
      </c>
      <c r="O24" s="123"/>
      <c r="P24" s="57"/>
      <c r="Q24" s="124"/>
      <c r="R24" s="10"/>
      <c r="S24" s="10"/>
      <c r="T24" s="10"/>
      <c r="U24" s="10"/>
      <c r="V24" s="10"/>
      <c r="W24" s="10"/>
      <c r="X24" s="10"/>
      <c r="Y24" s="10"/>
      <c r="Z24" s="10"/>
    </row>
    <row r="25" ht="123.75" customHeight="1" outlineLevel="1">
      <c r="A25" s="120" t="s">
        <v>837</v>
      </c>
      <c r="B25" s="120" t="s">
        <v>838</v>
      </c>
      <c r="C25" s="120" t="s">
        <v>839</v>
      </c>
      <c r="D25" s="121" t="s">
        <v>840</v>
      </c>
      <c r="E25" s="121" t="s">
        <v>841</v>
      </c>
      <c r="F25" s="120" t="s">
        <v>227</v>
      </c>
      <c r="G25" s="122">
        <v>45914.0</v>
      </c>
      <c r="H25" s="120" t="s">
        <v>749</v>
      </c>
      <c r="I25" s="120" t="s">
        <v>230</v>
      </c>
      <c r="J25" s="130">
        <v>45954.0</v>
      </c>
      <c r="K25" s="120" t="s">
        <v>782</v>
      </c>
      <c r="L25" s="120" t="s">
        <v>230</v>
      </c>
      <c r="M25" s="130">
        <v>45974.0</v>
      </c>
      <c r="N25" s="120" t="s">
        <v>749</v>
      </c>
      <c r="O25" s="123"/>
      <c r="P25" s="57"/>
      <c r="Q25" s="124"/>
      <c r="R25" s="10"/>
      <c r="S25" s="10"/>
      <c r="T25" s="10"/>
      <c r="U25" s="10"/>
      <c r="V25" s="10"/>
      <c r="W25" s="10"/>
      <c r="X25" s="10"/>
      <c r="Y25" s="10"/>
      <c r="Z25" s="10"/>
    </row>
    <row r="26" ht="16.5" customHeight="1" outlineLevel="1">
      <c r="A26" s="116" t="s">
        <v>842</v>
      </c>
      <c r="B26" s="117"/>
      <c r="C26" s="117"/>
      <c r="D26" s="117"/>
      <c r="E26" s="117"/>
      <c r="F26" s="117"/>
      <c r="G26" s="117"/>
      <c r="H26" s="117"/>
      <c r="I26" s="117"/>
      <c r="J26" s="117"/>
      <c r="K26" s="117"/>
      <c r="L26" s="117"/>
      <c r="M26" s="117"/>
      <c r="N26" s="117"/>
      <c r="O26" s="117"/>
      <c r="P26" s="57"/>
      <c r="Q26" s="124"/>
      <c r="R26" s="10"/>
      <c r="S26" s="10"/>
      <c r="T26" s="10"/>
      <c r="U26" s="10"/>
      <c r="V26" s="10"/>
      <c r="W26" s="10"/>
      <c r="X26" s="10"/>
      <c r="Y26" s="10"/>
      <c r="Z26" s="10"/>
    </row>
    <row r="27" ht="84.75" customHeight="1" outlineLevel="1">
      <c r="A27" s="120" t="s">
        <v>843</v>
      </c>
      <c r="B27" s="120" t="s">
        <v>844</v>
      </c>
      <c r="C27" s="120" t="s">
        <v>845</v>
      </c>
      <c r="D27" s="121" t="s">
        <v>846</v>
      </c>
      <c r="E27" s="121" t="s">
        <v>847</v>
      </c>
      <c r="F27" s="120" t="s">
        <v>228</v>
      </c>
      <c r="G27" s="122">
        <v>45914.0</v>
      </c>
      <c r="H27" s="120" t="s">
        <v>749</v>
      </c>
      <c r="I27" s="120" t="s">
        <v>227</v>
      </c>
      <c r="J27" s="130">
        <v>45954.0</v>
      </c>
      <c r="K27" s="120" t="s">
        <v>782</v>
      </c>
      <c r="L27" s="120" t="s">
        <v>227</v>
      </c>
      <c r="M27" s="130">
        <v>45974.0</v>
      </c>
      <c r="N27" s="120" t="s">
        <v>749</v>
      </c>
      <c r="O27" s="120" t="s">
        <v>848</v>
      </c>
      <c r="P27" s="57"/>
      <c r="Q27" s="124"/>
      <c r="R27" s="10"/>
      <c r="S27" s="10"/>
      <c r="T27" s="10"/>
      <c r="U27" s="10"/>
      <c r="V27" s="10"/>
      <c r="W27" s="10"/>
      <c r="X27" s="10"/>
      <c r="Y27" s="10"/>
      <c r="Z27" s="10"/>
    </row>
    <row r="28" ht="84.75" customHeight="1" outlineLevel="1">
      <c r="A28" s="120" t="s">
        <v>849</v>
      </c>
      <c r="B28" s="120" t="s">
        <v>850</v>
      </c>
      <c r="C28" s="120" t="s">
        <v>851</v>
      </c>
      <c r="D28" s="121" t="s">
        <v>852</v>
      </c>
      <c r="E28" s="121" t="s">
        <v>853</v>
      </c>
      <c r="F28" s="120" t="s">
        <v>227</v>
      </c>
      <c r="G28" s="122">
        <v>45914.0</v>
      </c>
      <c r="H28" s="120" t="s">
        <v>749</v>
      </c>
      <c r="I28" s="120" t="s">
        <v>227</v>
      </c>
      <c r="J28" s="130">
        <v>45954.0</v>
      </c>
      <c r="K28" s="120" t="s">
        <v>782</v>
      </c>
      <c r="L28" s="120" t="s">
        <v>227</v>
      </c>
      <c r="M28" s="130">
        <v>45974.0</v>
      </c>
      <c r="N28" s="120" t="s">
        <v>749</v>
      </c>
      <c r="O28" s="123"/>
      <c r="P28" s="57"/>
      <c r="Q28" s="124"/>
      <c r="R28" s="10"/>
      <c r="S28" s="10"/>
      <c r="T28" s="10"/>
      <c r="U28" s="10"/>
      <c r="V28" s="10"/>
      <c r="W28" s="10"/>
      <c r="X28" s="10"/>
      <c r="Y28" s="10"/>
      <c r="Z28" s="10"/>
    </row>
    <row r="29" ht="84.75" customHeight="1" outlineLevel="1">
      <c r="A29" s="120" t="s">
        <v>854</v>
      </c>
      <c r="B29" s="120" t="s">
        <v>855</v>
      </c>
      <c r="C29" s="120" t="s">
        <v>856</v>
      </c>
      <c r="D29" s="121" t="s">
        <v>857</v>
      </c>
      <c r="E29" s="121" t="s">
        <v>858</v>
      </c>
      <c r="F29" s="120" t="s">
        <v>227</v>
      </c>
      <c r="G29" s="122">
        <v>45914.0</v>
      </c>
      <c r="H29" s="120" t="s">
        <v>749</v>
      </c>
      <c r="I29" s="120" t="s">
        <v>227</v>
      </c>
      <c r="J29" s="130">
        <v>45954.0</v>
      </c>
      <c r="K29" s="120" t="s">
        <v>782</v>
      </c>
      <c r="L29" s="120" t="s">
        <v>227</v>
      </c>
      <c r="M29" s="130">
        <v>45974.0</v>
      </c>
      <c r="N29" s="120" t="s">
        <v>749</v>
      </c>
      <c r="O29" s="123"/>
      <c r="P29" s="57"/>
      <c r="Q29" s="124"/>
      <c r="R29" s="10"/>
      <c r="S29" s="10"/>
      <c r="T29" s="10"/>
      <c r="U29" s="10"/>
      <c r="V29" s="10"/>
      <c r="W29" s="10"/>
      <c r="X29" s="10"/>
      <c r="Y29" s="10"/>
      <c r="Z29" s="10"/>
    </row>
    <row r="30" ht="84.75" customHeight="1" outlineLevel="1">
      <c r="A30" s="120" t="s">
        <v>859</v>
      </c>
      <c r="B30" s="120" t="s">
        <v>860</v>
      </c>
      <c r="C30" s="120" t="s">
        <v>861</v>
      </c>
      <c r="D30" s="121" t="s">
        <v>862</v>
      </c>
      <c r="E30" s="121" t="s">
        <v>863</v>
      </c>
      <c r="F30" s="120" t="s">
        <v>227</v>
      </c>
      <c r="G30" s="122">
        <v>45914.0</v>
      </c>
      <c r="H30" s="120" t="s">
        <v>749</v>
      </c>
      <c r="I30" s="120" t="s">
        <v>227</v>
      </c>
      <c r="J30" s="130">
        <v>45954.0</v>
      </c>
      <c r="K30" s="120" t="s">
        <v>782</v>
      </c>
      <c r="L30" s="120" t="s">
        <v>227</v>
      </c>
      <c r="M30" s="130">
        <v>45974.0</v>
      </c>
      <c r="N30" s="120" t="s">
        <v>749</v>
      </c>
      <c r="O30" s="123"/>
      <c r="P30" s="57"/>
      <c r="Q30" s="124"/>
      <c r="R30" s="10"/>
      <c r="S30" s="10"/>
      <c r="T30" s="10"/>
      <c r="U30" s="10"/>
      <c r="V30" s="10"/>
      <c r="W30" s="10"/>
      <c r="X30" s="10"/>
      <c r="Y30" s="10"/>
      <c r="Z30" s="10"/>
    </row>
    <row r="31" ht="84.75" customHeight="1" outlineLevel="1">
      <c r="A31" s="120" t="s">
        <v>864</v>
      </c>
      <c r="B31" s="120" t="s">
        <v>865</v>
      </c>
      <c r="C31" s="120" t="s">
        <v>866</v>
      </c>
      <c r="D31" s="121" t="s">
        <v>867</v>
      </c>
      <c r="E31" s="121" t="s">
        <v>868</v>
      </c>
      <c r="F31" s="120" t="s">
        <v>227</v>
      </c>
      <c r="G31" s="122">
        <v>45914.0</v>
      </c>
      <c r="H31" s="120" t="s">
        <v>749</v>
      </c>
      <c r="I31" s="120" t="s">
        <v>227</v>
      </c>
      <c r="J31" s="130">
        <v>45954.0</v>
      </c>
      <c r="K31" s="120" t="s">
        <v>782</v>
      </c>
      <c r="L31" s="120" t="s">
        <v>227</v>
      </c>
      <c r="M31" s="130">
        <v>45974.0</v>
      </c>
      <c r="N31" s="120" t="s">
        <v>749</v>
      </c>
      <c r="O31" s="120" t="s">
        <v>869</v>
      </c>
      <c r="P31" s="57"/>
      <c r="Q31" s="124"/>
      <c r="R31" s="10"/>
      <c r="S31" s="10"/>
      <c r="T31" s="10"/>
      <c r="U31" s="10"/>
      <c r="V31" s="10"/>
      <c r="W31" s="10"/>
      <c r="X31" s="10"/>
      <c r="Y31" s="10"/>
      <c r="Z31" s="10"/>
    </row>
    <row r="32" ht="84.75" customHeight="1" outlineLevel="1">
      <c r="A32" s="120" t="s">
        <v>870</v>
      </c>
      <c r="B32" s="120" t="s">
        <v>871</v>
      </c>
      <c r="C32" s="120" t="s">
        <v>872</v>
      </c>
      <c r="D32" s="121" t="s">
        <v>873</v>
      </c>
      <c r="E32" s="121" t="s">
        <v>874</v>
      </c>
      <c r="F32" s="120" t="s">
        <v>227</v>
      </c>
      <c r="G32" s="122">
        <v>45914.0</v>
      </c>
      <c r="H32" s="120" t="s">
        <v>749</v>
      </c>
      <c r="I32" s="120" t="s">
        <v>227</v>
      </c>
      <c r="J32" s="130">
        <v>45954.0</v>
      </c>
      <c r="K32" s="120" t="s">
        <v>782</v>
      </c>
      <c r="L32" s="120" t="s">
        <v>227</v>
      </c>
      <c r="M32" s="130">
        <v>45974.0</v>
      </c>
      <c r="N32" s="120" t="s">
        <v>749</v>
      </c>
      <c r="O32" s="120"/>
      <c r="P32" s="57"/>
      <c r="Q32" s="124"/>
      <c r="R32" s="10"/>
      <c r="S32" s="10"/>
      <c r="T32" s="10"/>
      <c r="U32" s="10"/>
      <c r="V32" s="10"/>
      <c r="W32" s="10"/>
      <c r="X32" s="10"/>
      <c r="Y32" s="10"/>
      <c r="Z32" s="10"/>
    </row>
    <row r="33" ht="16.5" customHeight="1" outlineLevel="1">
      <c r="A33" s="116" t="s">
        <v>842</v>
      </c>
      <c r="B33" s="117"/>
      <c r="C33" s="117"/>
      <c r="D33" s="117"/>
      <c r="E33" s="117"/>
      <c r="F33" s="117"/>
      <c r="G33" s="117"/>
      <c r="H33" s="117"/>
      <c r="I33" s="117"/>
      <c r="J33" s="117"/>
      <c r="K33" s="117"/>
      <c r="L33" s="117"/>
      <c r="M33" s="117"/>
      <c r="N33" s="117"/>
      <c r="O33" s="117"/>
      <c r="P33" s="57"/>
      <c r="Q33" s="124"/>
      <c r="R33" s="10"/>
      <c r="S33" s="10"/>
      <c r="T33" s="10"/>
      <c r="U33" s="10"/>
      <c r="V33" s="10"/>
      <c r="W33" s="10"/>
      <c r="X33" s="10"/>
      <c r="Y33" s="10"/>
      <c r="Z33" s="10"/>
    </row>
    <row r="34" ht="84.75" customHeight="1" outlineLevel="1">
      <c r="A34" s="120" t="s">
        <v>875</v>
      </c>
      <c r="B34" s="120" t="s">
        <v>844</v>
      </c>
      <c r="C34" s="120" t="s">
        <v>845</v>
      </c>
      <c r="D34" s="121" t="s">
        <v>846</v>
      </c>
      <c r="E34" s="121" t="s">
        <v>847</v>
      </c>
      <c r="F34" s="120" t="s">
        <v>228</v>
      </c>
      <c r="G34" s="122">
        <v>45914.0</v>
      </c>
      <c r="H34" s="120" t="s">
        <v>749</v>
      </c>
      <c r="I34" s="120" t="s">
        <v>227</v>
      </c>
      <c r="J34" s="130">
        <v>45954.0</v>
      </c>
      <c r="K34" s="120" t="s">
        <v>782</v>
      </c>
      <c r="L34" s="120" t="s">
        <v>227</v>
      </c>
      <c r="M34" s="130">
        <v>45974.0</v>
      </c>
      <c r="N34" s="120" t="s">
        <v>749</v>
      </c>
      <c r="O34" s="120" t="s">
        <v>848</v>
      </c>
      <c r="P34" s="57"/>
      <c r="Q34" s="124"/>
      <c r="R34" s="10"/>
      <c r="S34" s="10"/>
      <c r="T34" s="10"/>
      <c r="U34" s="10"/>
      <c r="V34" s="10"/>
      <c r="W34" s="10"/>
      <c r="X34" s="10"/>
      <c r="Y34" s="10"/>
      <c r="Z34" s="10"/>
    </row>
    <row r="35" ht="84.75" customHeight="1" outlineLevel="1">
      <c r="A35" s="120" t="s">
        <v>876</v>
      </c>
      <c r="B35" s="120" t="s">
        <v>850</v>
      </c>
      <c r="C35" s="120" t="s">
        <v>851</v>
      </c>
      <c r="D35" s="121" t="s">
        <v>852</v>
      </c>
      <c r="E35" s="121" t="s">
        <v>853</v>
      </c>
      <c r="F35" s="120" t="s">
        <v>227</v>
      </c>
      <c r="G35" s="122">
        <v>45914.0</v>
      </c>
      <c r="H35" s="120" t="s">
        <v>749</v>
      </c>
      <c r="I35" s="120" t="s">
        <v>227</v>
      </c>
      <c r="J35" s="130">
        <v>45954.0</v>
      </c>
      <c r="K35" s="120" t="s">
        <v>782</v>
      </c>
      <c r="L35" s="120" t="s">
        <v>227</v>
      </c>
      <c r="M35" s="130">
        <v>45974.0</v>
      </c>
      <c r="N35" s="120" t="s">
        <v>749</v>
      </c>
      <c r="O35" s="123"/>
      <c r="P35" s="57"/>
      <c r="Q35" s="124"/>
      <c r="R35" s="10"/>
      <c r="S35" s="10"/>
      <c r="T35" s="10"/>
      <c r="U35" s="10"/>
      <c r="V35" s="10"/>
      <c r="W35" s="10"/>
      <c r="X35" s="10"/>
      <c r="Y35" s="10"/>
      <c r="Z35" s="10"/>
    </row>
    <row r="36" ht="84.75" customHeight="1" outlineLevel="1">
      <c r="A36" s="120" t="s">
        <v>877</v>
      </c>
      <c r="B36" s="120" t="s">
        <v>855</v>
      </c>
      <c r="C36" s="120" t="s">
        <v>856</v>
      </c>
      <c r="D36" s="121" t="s">
        <v>857</v>
      </c>
      <c r="E36" s="121" t="s">
        <v>858</v>
      </c>
      <c r="F36" s="120" t="s">
        <v>227</v>
      </c>
      <c r="G36" s="122">
        <v>45914.0</v>
      </c>
      <c r="H36" s="120" t="s">
        <v>749</v>
      </c>
      <c r="I36" s="120" t="s">
        <v>227</v>
      </c>
      <c r="J36" s="130">
        <v>45954.0</v>
      </c>
      <c r="K36" s="120" t="s">
        <v>782</v>
      </c>
      <c r="L36" s="120" t="s">
        <v>227</v>
      </c>
      <c r="M36" s="130">
        <v>45974.0</v>
      </c>
      <c r="N36" s="120" t="s">
        <v>749</v>
      </c>
      <c r="O36" s="123"/>
      <c r="P36" s="57"/>
      <c r="Q36" s="124"/>
      <c r="R36" s="10"/>
      <c r="S36" s="10"/>
      <c r="T36" s="10"/>
      <c r="U36" s="10"/>
      <c r="V36" s="10"/>
      <c r="W36" s="10"/>
      <c r="X36" s="10"/>
      <c r="Y36" s="10"/>
      <c r="Z36" s="10"/>
    </row>
    <row r="37" ht="84.75" customHeight="1" outlineLevel="1">
      <c r="A37" s="120" t="s">
        <v>878</v>
      </c>
      <c r="B37" s="120" t="s">
        <v>860</v>
      </c>
      <c r="C37" s="120" t="s">
        <v>861</v>
      </c>
      <c r="D37" s="121" t="s">
        <v>862</v>
      </c>
      <c r="E37" s="121" t="s">
        <v>863</v>
      </c>
      <c r="F37" s="120" t="s">
        <v>227</v>
      </c>
      <c r="G37" s="122">
        <v>45914.0</v>
      </c>
      <c r="H37" s="120" t="s">
        <v>749</v>
      </c>
      <c r="I37" s="120" t="s">
        <v>227</v>
      </c>
      <c r="J37" s="130">
        <v>45954.0</v>
      </c>
      <c r="K37" s="120" t="s">
        <v>782</v>
      </c>
      <c r="L37" s="120" t="s">
        <v>227</v>
      </c>
      <c r="M37" s="130">
        <v>45974.0</v>
      </c>
      <c r="N37" s="120" t="s">
        <v>749</v>
      </c>
      <c r="O37" s="123"/>
      <c r="P37" s="57"/>
      <c r="Q37" s="124"/>
      <c r="R37" s="10"/>
      <c r="S37" s="10"/>
      <c r="T37" s="10"/>
      <c r="U37" s="10"/>
      <c r="V37" s="10"/>
      <c r="W37" s="10"/>
      <c r="X37" s="10"/>
      <c r="Y37" s="10"/>
      <c r="Z37" s="10"/>
    </row>
    <row r="38" ht="84.75" customHeight="1" outlineLevel="1">
      <c r="A38" s="120" t="s">
        <v>879</v>
      </c>
      <c r="B38" s="120" t="s">
        <v>865</v>
      </c>
      <c r="C38" s="120" t="s">
        <v>866</v>
      </c>
      <c r="D38" s="121" t="s">
        <v>867</v>
      </c>
      <c r="E38" s="121" t="s">
        <v>868</v>
      </c>
      <c r="F38" s="120" t="s">
        <v>227</v>
      </c>
      <c r="G38" s="122">
        <v>45914.0</v>
      </c>
      <c r="H38" s="120" t="s">
        <v>749</v>
      </c>
      <c r="I38" s="120" t="s">
        <v>227</v>
      </c>
      <c r="J38" s="130">
        <v>45954.0</v>
      </c>
      <c r="K38" s="120" t="s">
        <v>782</v>
      </c>
      <c r="L38" s="120" t="s">
        <v>227</v>
      </c>
      <c r="M38" s="130">
        <v>45974.0</v>
      </c>
      <c r="N38" s="120" t="s">
        <v>749</v>
      </c>
      <c r="O38" s="120" t="s">
        <v>869</v>
      </c>
      <c r="P38" s="57"/>
      <c r="Q38" s="124"/>
      <c r="R38" s="10"/>
      <c r="S38" s="10"/>
      <c r="T38" s="10"/>
      <c r="U38" s="10"/>
      <c r="V38" s="10"/>
      <c r="W38" s="10"/>
      <c r="X38" s="10"/>
      <c r="Y38" s="10"/>
      <c r="Z38" s="10"/>
    </row>
    <row r="39" ht="84.75" customHeight="1" outlineLevel="1">
      <c r="A39" s="120" t="s">
        <v>880</v>
      </c>
      <c r="B39" s="120" t="s">
        <v>871</v>
      </c>
      <c r="C39" s="120" t="s">
        <v>872</v>
      </c>
      <c r="D39" s="121" t="s">
        <v>873</v>
      </c>
      <c r="E39" s="121" t="s">
        <v>874</v>
      </c>
      <c r="F39" s="120" t="s">
        <v>227</v>
      </c>
      <c r="G39" s="122">
        <v>45914.0</v>
      </c>
      <c r="H39" s="120" t="s">
        <v>749</v>
      </c>
      <c r="I39" s="120" t="s">
        <v>227</v>
      </c>
      <c r="J39" s="130">
        <v>45954.0</v>
      </c>
      <c r="K39" s="120" t="s">
        <v>782</v>
      </c>
      <c r="L39" s="120" t="s">
        <v>227</v>
      </c>
      <c r="M39" s="130">
        <v>45974.0</v>
      </c>
      <c r="N39" s="120" t="s">
        <v>749</v>
      </c>
      <c r="O39" s="120"/>
      <c r="P39" s="57"/>
      <c r="Q39" s="124"/>
      <c r="R39" s="10"/>
      <c r="S39" s="10"/>
      <c r="T39" s="10"/>
      <c r="U39" s="10"/>
      <c r="V39" s="10"/>
      <c r="W39" s="10"/>
      <c r="X39" s="10"/>
      <c r="Y39" s="10"/>
      <c r="Z39" s="10"/>
    </row>
    <row r="40" ht="12.75" customHeight="1">
      <c r="A40" s="134" t="s">
        <v>881</v>
      </c>
      <c r="B40" s="135"/>
      <c r="C40" s="135"/>
      <c r="D40" s="135"/>
      <c r="E40" s="135"/>
      <c r="F40" s="135"/>
      <c r="G40" s="135"/>
      <c r="H40" s="135"/>
      <c r="I40" s="135"/>
      <c r="J40" s="135"/>
      <c r="K40" s="135"/>
      <c r="L40" s="135"/>
      <c r="M40" s="135"/>
      <c r="N40" s="135"/>
      <c r="O40" s="135"/>
      <c r="P40" s="136"/>
      <c r="Q40" s="137"/>
      <c r="R40" s="138"/>
      <c r="S40" s="138"/>
      <c r="T40" s="138"/>
      <c r="U40" s="138"/>
      <c r="V40" s="138"/>
      <c r="W40" s="138"/>
      <c r="X40" s="138"/>
      <c r="Y40" s="138"/>
      <c r="Z40" s="138"/>
    </row>
    <row r="41" ht="12.75" customHeight="1">
      <c r="A41" s="120" t="s">
        <v>882</v>
      </c>
      <c r="B41" s="139" t="s">
        <v>883</v>
      </c>
      <c r="C41" s="139" t="s">
        <v>884</v>
      </c>
      <c r="D41" s="139" t="s">
        <v>885</v>
      </c>
      <c r="E41" s="139" t="s">
        <v>886</v>
      </c>
      <c r="F41" s="139" t="s">
        <v>227</v>
      </c>
      <c r="G41" s="122">
        <v>45914.0</v>
      </c>
      <c r="H41" s="140" t="s">
        <v>749</v>
      </c>
      <c r="I41" s="120" t="s">
        <v>227</v>
      </c>
      <c r="J41" s="130">
        <v>45954.0</v>
      </c>
      <c r="K41" s="120" t="s">
        <v>782</v>
      </c>
      <c r="L41" s="120" t="s">
        <v>227</v>
      </c>
      <c r="M41" s="130">
        <v>45974.0</v>
      </c>
      <c r="N41" s="120" t="s">
        <v>749</v>
      </c>
      <c r="O41" s="140" t="s">
        <v>848</v>
      </c>
      <c r="P41" s="136"/>
      <c r="Q41" s="137"/>
      <c r="R41" s="138"/>
      <c r="S41" s="138"/>
      <c r="T41" s="138"/>
      <c r="U41" s="138"/>
      <c r="V41" s="138"/>
      <c r="W41" s="138"/>
      <c r="X41" s="138"/>
      <c r="Y41" s="138"/>
      <c r="Z41" s="138"/>
    </row>
    <row r="42" ht="12.75" customHeight="1">
      <c r="A42" s="120" t="s">
        <v>887</v>
      </c>
      <c r="B42" s="139" t="s">
        <v>888</v>
      </c>
      <c r="C42" s="139" t="s">
        <v>889</v>
      </c>
      <c r="D42" s="139" t="s">
        <v>890</v>
      </c>
      <c r="E42" s="139" t="s">
        <v>891</v>
      </c>
      <c r="F42" s="140" t="s">
        <v>227</v>
      </c>
      <c r="G42" s="122">
        <v>45914.0</v>
      </c>
      <c r="H42" s="140" t="s">
        <v>749</v>
      </c>
      <c r="I42" s="120" t="s">
        <v>227</v>
      </c>
      <c r="J42" s="130">
        <v>45954.0</v>
      </c>
      <c r="K42" s="120" t="s">
        <v>782</v>
      </c>
      <c r="L42" s="120" t="s">
        <v>227</v>
      </c>
      <c r="M42" s="130">
        <v>45974.0</v>
      </c>
      <c r="N42" s="120" t="s">
        <v>749</v>
      </c>
      <c r="O42" s="141"/>
      <c r="P42" s="136"/>
      <c r="Q42" s="137"/>
      <c r="R42" s="138"/>
      <c r="S42" s="138"/>
      <c r="T42" s="138"/>
      <c r="U42" s="138"/>
      <c r="V42" s="138"/>
      <c r="W42" s="138"/>
      <c r="X42" s="138"/>
      <c r="Y42" s="138"/>
      <c r="Z42" s="138"/>
    </row>
    <row r="43" ht="12.75" customHeight="1">
      <c r="A43" s="120" t="s">
        <v>892</v>
      </c>
      <c r="B43" s="139" t="s">
        <v>893</v>
      </c>
      <c r="C43" s="139" t="s">
        <v>894</v>
      </c>
      <c r="D43" s="139" t="s">
        <v>895</v>
      </c>
      <c r="E43" s="139" t="s">
        <v>896</v>
      </c>
      <c r="F43" s="140" t="s">
        <v>227</v>
      </c>
      <c r="G43" s="122">
        <v>45914.0</v>
      </c>
      <c r="H43" s="140" t="s">
        <v>749</v>
      </c>
      <c r="I43" s="120" t="s">
        <v>227</v>
      </c>
      <c r="J43" s="130">
        <v>45954.0</v>
      </c>
      <c r="K43" s="120" t="s">
        <v>782</v>
      </c>
      <c r="L43" s="120" t="s">
        <v>227</v>
      </c>
      <c r="M43" s="130">
        <v>45974.0</v>
      </c>
      <c r="N43" s="120" t="s">
        <v>749</v>
      </c>
      <c r="O43" s="141"/>
      <c r="P43" s="136"/>
      <c r="Q43" s="137"/>
      <c r="R43" s="138"/>
      <c r="S43" s="138"/>
      <c r="T43" s="138"/>
      <c r="U43" s="138"/>
      <c r="V43" s="138"/>
      <c r="W43" s="138"/>
      <c r="X43" s="138"/>
      <c r="Y43" s="138"/>
      <c r="Z43" s="138"/>
    </row>
    <row r="44" ht="12.75" customHeight="1">
      <c r="A44" s="120" t="s">
        <v>897</v>
      </c>
      <c r="B44" s="139" t="s">
        <v>898</v>
      </c>
      <c r="C44" s="139" t="s">
        <v>899</v>
      </c>
      <c r="D44" s="139" t="s">
        <v>900</v>
      </c>
      <c r="E44" s="139" t="s">
        <v>901</v>
      </c>
      <c r="F44" s="140" t="s">
        <v>227</v>
      </c>
      <c r="G44" s="122">
        <v>45914.0</v>
      </c>
      <c r="H44" s="140" t="s">
        <v>749</v>
      </c>
      <c r="I44" s="120" t="s">
        <v>227</v>
      </c>
      <c r="J44" s="130">
        <v>45954.0</v>
      </c>
      <c r="K44" s="120" t="s">
        <v>782</v>
      </c>
      <c r="L44" s="120" t="s">
        <v>227</v>
      </c>
      <c r="M44" s="130">
        <v>45974.0</v>
      </c>
      <c r="N44" s="120" t="s">
        <v>749</v>
      </c>
      <c r="O44" s="141"/>
      <c r="P44" s="136"/>
      <c r="Q44" s="137"/>
      <c r="R44" s="138"/>
      <c r="S44" s="138"/>
      <c r="T44" s="138"/>
      <c r="U44" s="138"/>
      <c r="V44" s="138"/>
      <c r="W44" s="138"/>
      <c r="X44" s="138"/>
      <c r="Y44" s="138"/>
      <c r="Z44" s="138"/>
    </row>
    <row r="45" ht="12.75" customHeight="1">
      <c r="A45" s="134" t="s">
        <v>902</v>
      </c>
      <c r="B45" s="135"/>
      <c r="C45" s="135"/>
      <c r="D45" s="135"/>
      <c r="E45" s="135"/>
      <c r="F45" s="135"/>
      <c r="G45" s="135"/>
      <c r="H45" s="135"/>
      <c r="I45" s="135"/>
      <c r="J45" s="135"/>
      <c r="K45" s="135"/>
      <c r="L45" s="135"/>
      <c r="M45" s="135"/>
      <c r="N45" s="135"/>
      <c r="O45" s="135"/>
      <c r="P45" s="136"/>
      <c r="Q45" s="137"/>
      <c r="R45" s="138"/>
      <c r="S45" s="138"/>
      <c r="T45" s="138"/>
      <c r="U45" s="138"/>
      <c r="V45" s="138"/>
      <c r="W45" s="138"/>
      <c r="X45" s="138"/>
      <c r="Y45" s="138"/>
      <c r="Z45" s="138"/>
    </row>
    <row r="46" ht="12.75" customHeight="1">
      <c r="A46" s="120" t="s">
        <v>903</v>
      </c>
      <c r="B46" s="139" t="s">
        <v>904</v>
      </c>
      <c r="C46" s="139" t="s">
        <v>905</v>
      </c>
      <c r="D46" s="139" t="s">
        <v>906</v>
      </c>
      <c r="E46" s="139" t="s">
        <v>907</v>
      </c>
      <c r="F46" s="139" t="s">
        <v>227</v>
      </c>
      <c r="G46" s="122">
        <v>45914.0</v>
      </c>
      <c r="H46" s="140" t="s">
        <v>749</v>
      </c>
      <c r="I46" s="120" t="s">
        <v>227</v>
      </c>
      <c r="J46" s="130">
        <v>45954.0</v>
      </c>
      <c r="K46" s="120" t="s">
        <v>782</v>
      </c>
      <c r="L46" s="120" t="s">
        <v>227</v>
      </c>
      <c r="M46" s="130">
        <v>45974.0</v>
      </c>
      <c r="N46" s="120" t="s">
        <v>749</v>
      </c>
      <c r="O46" s="140" t="s">
        <v>848</v>
      </c>
      <c r="P46" s="136"/>
      <c r="Q46" s="137"/>
      <c r="R46" s="138"/>
      <c r="S46" s="138"/>
      <c r="T46" s="138"/>
      <c r="U46" s="138"/>
      <c r="V46" s="138"/>
      <c r="W46" s="138"/>
      <c r="X46" s="138"/>
      <c r="Y46" s="138"/>
      <c r="Z46" s="138"/>
    </row>
    <row r="47" ht="12.75" customHeight="1">
      <c r="A47" s="120" t="s">
        <v>908</v>
      </c>
      <c r="B47" s="139" t="s">
        <v>909</v>
      </c>
      <c r="C47" s="139" t="s">
        <v>910</v>
      </c>
      <c r="D47" s="139" t="s">
        <v>911</v>
      </c>
      <c r="E47" s="139" t="s">
        <v>912</v>
      </c>
      <c r="F47" s="140" t="s">
        <v>227</v>
      </c>
      <c r="G47" s="122">
        <v>45914.0</v>
      </c>
      <c r="H47" s="140" t="s">
        <v>749</v>
      </c>
      <c r="I47" s="120" t="s">
        <v>227</v>
      </c>
      <c r="J47" s="130">
        <v>45954.0</v>
      </c>
      <c r="K47" s="120" t="s">
        <v>782</v>
      </c>
      <c r="L47" s="120" t="s">
        <v>227</v>
      </c>
      <c r="M47" s="130">
        <v>45974.0</v>
      </c>
      <c r="N47" s="120" t="s">
        <v>749</v>
      </c>
      <c r="O47" s="141"/>
      <c r="P47" s="136"/>
      <c r="Q47" s="137"/>
      <c r="R47" s="138"/>
      <c r="S47" s="138"/>
      <c r="T47" s="138"/>
      <c r="U47" s="138"/>
      <c r="V47" s="138"/>
      <c r="W47" s="138"/>
      <c r="X47" s="138"/>
      <c r="Y47" s="138"/>
      <c r="Z47" s="138"/>
    </row>
    <row r="48" ht="12.75" customHeight="1">
      <c r="A48" s="120" t="s">
        <v>913</v>
      </c>
      <c r="B48" s="139" t="s">
        <v>914</v>
      </c>
      <c r="C48" s="139" t="s">
        <v>915</v>
      </c>
      <c r="D48" s="139" t="s">
        <v>916</v>
      </c>
      <c r="E48" s="139" t="s">
        <v>917</v>
      </c>
      <c r="F48" s="140" t="s">
        <v>227</v>
      </c>
      <c r="G48" s="122">
        <v>45914.0</v>
      </c>
      <c r="H48" s="140" t="s">
        <v>749</v>
      </c>
      <c r="I48" s="120" t="s">
        <v>227</v>
      </c>
      <c r="J48" s="130">
        <v>45954.0</v>
      </c>
      <c r="K48" s="120" t="s">
        <v>782</v>
      </c>
      <c r="L48" s="120" t="s">
        <v>227</v>
      </c>
      <c r="M48" s="130">
        <v>45974.0</v>
      </c>
      <c r="N48" s="120" t="s">
        <v>749</v>
      </c>
      <c r="O48" s="141"/>
      <c r="P48" s="136"/>
      <c r="Q48" s="137"/>
      <c r="R48" s="138"/>
      <c r="S48" s="138"/>
      <c r="T48" s="138"/>
      <c r="U48" s="138"/>
      <c r="V48" s="138"/>
      <c r="W48" s="138"/>
      <c r="X48" s="138"/>
      <c r="Y48" s="138"/>
      <c r="Z48" s="138"/>
    </row>
    <row r="49" ht="12.75" customHeight="1">
      <c r="A49" s="120" t="s">
        <v>918</v>
      </c>
      <c r="B49" s="139" t="s">
        <v>919</v>
      </c>
      <c r="C49" s="139" t="s">
        <v>920</v>
      </c>
      <c r="D49" s="139" t="s">
        <v>921</v>
      </c>
      <c r="E49" s="139" t="s">
        <v>922</v>
      </c>
      <c r="F49" s="140" t="s">
        <v>227</v>
      </c>
      <c r="G49" s="122">
        <v>45914.0</v>
      </c>
      <c r="H49" s="140" t="s">
        <v>749</v>
      </c>
      <c r="I49" s="120" t="s">
        <v>227</v>
      </c>
      <c r="J49" s="130">
        <v>45954.0</v>
      </c>
      <c r="K49" s="120" t="s">
        <v>782</v>
      </c>
      <c r="L49" s="120" t="s">
        <v>227</v>
      </c>
      <c r="M49" s="130">
        <v>45974.0</v>
      </c>
      <c r="N49" s="120" t="s">
        <v>749</v>
      </c>
      <c r="O49" s="141"/>
      <c r="P49" s="136"/>
      <c r="Q49" s="137"/>
      <c r="R49" s="138"/>
      <c r="S49" s="138"/>
      <c r="T49" s="138"/>
      <c r="U49" s="138"/>
      <c r="V49" s="138"/>
      <c r="W49" s="138"/>
      <c r="X49" s="138"/>
      <c r="Y49" s="138"/>
      <c r="Z49" s="138"/>
    </row>
    <row r="50" ht="12.75" customHeight="1">
      <c r="A50" s="134" t="s">
        <v>923</v>
      </c>
      <c r="B50" s="135"/>
      <c r="C50" s="135"/>
      <c r="D50" s="135"/>
      <c r="E50" s="135"/>
      <c r="F50" s="135"/>
      <c r="G50" s="135"/>
      <c r="H50" s="135"/>
      <c r="I50" s="135"/>
      <c r="J50" s="135"/>
      <c r="K50" s="135"/>
      <c r="L50" s="135"/>
      <c r="M50" s="135"/>
      <c r="N50" s="135"/>
      <c r="O50" s="135"/>
      <c r="P50" s="136"/>
      <c r="Q50" s="137"/>
      <c r="R50" s="138"/>
      <c r="S50" s="138"/>
      <c r="T50" s="138"/>
      <c r="U50" s="138"/>
      <c r="V50" s="138"/>
      <c r="W50" s="138"/>
      <c r="X50" s="138"/>
      <c r="Y50" s="138"/>
      <c r="Z50" s="138"/>
    </row>
    <row r="51" ht="12.75" customHeight="1">
      <c r="A51" s="120" t="s">
        <v>924</v>
      </c>
      <c r="B51" s="139" t="s">
        <v>925</v>
      </c>
      <c r="C51" s="139" t="s">
        <v>926</v>
      </c>
      <c r="D51" s="139" t="s">
        <v>927</v>
      </c>
      <c r="E51" s="139" t="s">
        <v>928</v>
      </c>
      <c r="F51" s="139" t="s">
        <v>227</v>
      </c>
      <c r="G51" s="122">
        <v>45914.0</v>
      </c>
      <c r="H51" s="140" t="s">
        <v>749</v>
      </c>
      <c r="I51" s="120" t="s">
        <v>227</v>
      </c>
      <c r="J51" s="130">
        <v>45954.0</v>
      </c>
      <c r="K51" s="120" t="s">
        <v>782</v>
      </c>
      <c r="L51" s="120" t="s">
        <v>227</v>
      </c>
      <c r="M51" s="130">
        <v>45974.0</v>
      </c>
      <c r="N51" s="120" t="s">
        <v>749</v>
      </c>
      <c r="O51" s="140" t="s">
        <v>848</v>
      </c>
      <c r="P51" s="136"/>
      <c r="Q51" s="137"/>
      <c r="R51" s="138"/>
      <c r="S51" s="138"/>
      <c r="T51" s="138"/>
      <c r="U51" s="138"/>
      <c r="V51" s="138"/>
      <c r="W51" s="138"/>
      <c r="X51" s="138"/>
      <c r="Y51" s="138"/>
      <c r="Z51" s="138"/>
    </row>
    <row r="52" ht="12.75" customHeight="1">
      <c r="A52" s="120" t="s">
        <v>929</v>
      </c>
      <c r="B52" s="139" t="s">
        <v>930</v>
      </c>
      <c r="C52" s="139" t="s">
        <v>931</v>
      </c>
      <c r="D52" s="139" t="s">
        <v>932</v>
      </c>
      <c r="E52" s="139" t="s">
        <v>933</v>
      </c>
      <c r="F52" s="140" t="s">
        <v>227</v>
      </c>
      <c r="G52" s="122">
        <v>45914.0</v>
      </c>
      <c r="H52" s="140" t="s">
        <v>749</v>
      </c>
      <c r="I52" s="120" t="s">
        <v>227</v>
      </c>
      <c r="J52" s="130">
        <v>45954.0</v>
      </c>
      <c r="K52" s="120" t="s">
        <v>782</v>
      </c>
      <c r="L52" s="120" t="s">
        <v>227</v>
      </c>
      <c r="M52" s="130">
        <v>45974.0</v>
      </c>
      <c r="N52" s="120" t="s">
        <v>749</v>
      </c>
      <c r="O52" s="141"/>
      <c r="P52" s="136"/>
      <c r="Q52" s="137"/>
      <c r="R52" s="138"/>
      <c r="S52" s="138"/>
      <c r="T52" s="138"/>
      <c r="U52" s="138"/>
      <c r="V52" s="138"/>
      <c r="W52" s="138"/>
      <c r="X52" s="138"/>
      <c r="Y52" s="138"/>
      <c r="Z52" s="138"/>
    </row>
    <row r="53" ht="12.75" customHeight="1">
      <c r="A53" s="120" t="s">
        <v>934</v>
      </c>
      <c r="B53" s="139" t="s">
        <v>935</v>
      </c>
      <c r="C53" s="139" t="s">
        <v>936</v>
      </c>
      <c r="D53" s="139" t="s">
        <v>937</v>
      </c>
      <c r="E53" s="139" t="s">
        <v>938</v>
      </c>
      <c r="F53" s="140" t="s">
        <v>227</v>
      </c>
      <c r="G53" s="122">
        <v>45914.0</v>
      </c>
      <c r="H53" s="140" t="s">
        <v>749</v>
      </c>
      <c r="I53" s="120" t="s">
        <v>227</v>
      </c>
      <c r="J53" s="130">
        <v>45954.0</v>
      </c>
      <c r="K53" s="120" t="s">
        <v>782</v>
      </c>
      <c r="L53" s="120" t="s">
        <v>227</v>
      </c>
      <c r="M53" s="130">
        <v>45974.0</v>
      </c>
      <c r="N53" s="120" t="s">
        <v>749</v>
      </c>
      <c r="O53" s="141"/>
      <c r="P53" s="136"/>
      <c r="Q53" s="137"/>
      <c r="R53" s="138"/>
      <c r="S53" s="138"/>
      <c r="T53" s="138"/>
      <c r="U53" s="138"/>
      <c r="V53" s="138"/>
      <c r="W53" s="138"/>
      <c r="X53" s="138"/>
      <c r="Y53" s="138"/>
      <c r="Z53" s="138"/>
    </row>
    <row r="54" ht="12.75" customHeight="1">
      <c r="A54" s="134" t="s">
        <v>939</v>
      </c>
      <c r="B54" s="135"/>
      <c r="C54" s="135"/>
      <c r="D54" s="135"/>
      <c r="E54" s="135"/>
      <c r="F54" s="135"/>
      <c r="G54" s="135"/>
      <c r="H54" s="135"/>
      <c r="I54" s="135"/>
      <c r="J54" s="135"/>
      <c r="K54" s="135"/>
      <c r="L54" s="135"/>
      <c r="M54" s="135"/>
      <c r="N54" s="135"/>
      <c r="O54" s="135"/>
      <c r="P54" s="136"/>
      <c r="Q54" s="137"/>
      <c r="R54" s="138"/>
      <c r="S54" s="138"/>
      <c r="T54" s="138"/>
      <c r="U54" s="138"/>
      <c r="V54" s="138"/>
      <c r="W54" s="138"/>
      <c r="X54" s="138"/>
      <c r="Y54" s="138"/>
      <c r="Z54" s="138"/>
    </row>
    <row r="55" ht="12.75" customHeight="1">
      <c r="A55" s="139" t="s">
        <v>940</v>
      </c>
      <c r="B55" s="139" t="s">
        <v>941</v>
      </c>
      <c r="C55" s="139" t="s">
        <v>942</v>
      </c>
      <c r="D55" s="139" t="s">
        <v>943</v>
      </c>
      <c r="E55" s="139" t="s">
        <v>944</v>
      </c>
      <c r="F55" s="139" t="s">
        <v>227</v>
      </c>
      <c r="G55" s="122">
        <v>45914.0</v>
      </c>
      <c r="H55" s="140" t="s">
        <v>749</v>
      </c>
      <c r="I55" s="120" t="s">
        <v>227</v>
      </c>
      <c r="J55" s="130">
        <v>45954.0</v>
      </c>
      <c r="K55" s="120" t="s">
        <v>782</v>
      </c>
      <c r="L55" s="120" t="s">
        <v>227</v>
      </c>
      <c r="M55" s="130">
        <v>45974.0</v>
      </c>
      <c r="N55" s="120" t="s">
        <v>749</v>
      </c>
      <c r="O55" s="140" t="s">
        <v>848</v>
      </c>
      <c r="P55" s="136"/>
      <c r="Q55" s="137"/>
      <c r="R55" s="138"/>
      <c r="S55" s="138"/>
      <c r="T55" s="138"/>
      <c r="U55" s="138"/>
      <c r="V55" s="138"/>
      <c r="W55" s="138"/>
      <c r="X55" s="138"/>
      <c r="Y55" s="138"/>
      <c r="Z55" s="138"/>
    </row>
    <row r="56" ht="12.75" customHeight="1">
      <c r="A56" s="139" t="s">
        <v>945</v>
      </c>
      <c r="B56" s="139" t="s">
        <v>946</v>
      </c>
      <c r="C56" s="139" t="s">
        <v>947</v>
      </c>
      <c r="D56" s="139" t="s">
        <v>948</v>
      </c>
      <c r="E56" s="139" t="s">
        <v>949</v>
      </c>
      <c r="F56" s="140" t="s">
        <v>227</v>
      </c>
      <c r="G56" s="122">
        <v>45914.0</v>
      </c>
      <c r="H56" s="140" t="s">
        <v>749</v>
      </c>
      <c r="I56" s="120" t="s">
        <v>227</v>
      </c>
      <c r="J56" s="130">
        <v>45954.0</v>
      </c>
      <c r="K56" s="120" t="s">
        <v>782</v>
      </c>
      <c r="L56" s="120" t="s">
        <v>227</v>
      </c>
      <c r="M56" s="130">
        <v>45974.0</v>
      </c>
      <c r="N56" s="120" t="s">
        <v>749</v>
      </c>
      <c r="O56" s="141"/>
      <c r="P56" s="136"/>
      <c r="Q56" s="137"/>
      <c r="R56" s="138"/>
      <c r="S56" s="138"/>
      <c r="T56" s="138"/>
      <c r="U56" s="138"/>
      <c r="V56" s="138"/>
      <c r="W56" s="138"/>
      <c r="X56" s="138"/>
      <c r="Y56" s="138"/>
      <c r="Z56" s="138"/>
    </row>
    <row r="57" ht="12.75" customHeight="1">
      <c r="A57" s="139" t="s">
        <v>950</v>
      </c>
      <c r="B57" s="139" t="s">
        <v>951</v>
      </c>
      <c r="C57" s="139" t="s">
        <v>952</v>
      </c>
      <c r="D57" s="139" t="s">
        <v>953</v>
      </c>
      <c r="E57" s="139" t="s">
        <v>949</v>
      </c>
      <c r="F57" s="140" t="s">
        <v>227</v>
      </c>
      <c r="G57" s="122">
        <v>45914.0</v>
      </c>
      <c r="H57" s="140" t="s">
        <v>749</v>
      </c>
      <c r="I57" s="120" t="s">
        <v>227</v>
      </c>
      <c r="J57" s="130">
        <v>45954.0</v>
      </c>
      <c r="K57" s="120" t="s">
        <v>782</v>
      </c>
      <c r="L57" s="120" t="s">
        <v>227</v>
      </c>
      <c r="M57" s="130">
        <v>45974.0</v>
      </c>
      <c r="N57" s="120" t="s">
        <v>749</v>
      </c>
      <c r="O57" s="141"/>
      <c r="P57" s="136"/>
      <c r="Q57" s="137"/>
      <c r="R57" s="138"/>
      <c r="S57" s="138"/>
      <c r="T57" s="138"/>
      <c r="U57" s="138"/>
      <c r="V57" s="138"/>
      <c r="W57" s="138"/>
      <c r="X57" s="138"/>
      <c r="Y57" s="138"/>
      <c r="Z57" s="138"/>
    </row>
    <row r="58" ht="12.75" customHeight="1">
      <c r="A58" s="139" t="s">
        <v>954</v>
      </c>
      <c r="B58" s="139" t="s">
        <v>955</v>
      </c>
      <c r="C58" s="139" t="s">
        <v>956</v>
      </c>
      <c r="D58" s="139" t="s">
        <v>957</v>
      </c>
      <c r="E58" s="139" t="s">
        <v>685</v>
      </c>
      <c r="F58" s="140" t="s">
        <v>227</v>
      </c>
      <c r="G58" s="122">
        <v>45914.0</v>
      </c>
      <c r="H58" s="140" t="s">
        <v>749</v>
      </c>
      <c r="I58" s="120" t="s">
        <v>227</v>
      </c>
      <c r="J58" s="130">
        <v>45954.0</v>
      </c>
      <c r="K58" s="120" t="s">
        <v>782</v>
      </c>
      <c r="L58" s="120" t="s">
        <v>227</v>
      </c>
      <c r="M58" s="130">
        <v>45974.0</v>
      </c>
      <c r="N58" s="120" t="s">
        <v>749</v>
      </c>
      <c r="O58" s="141"/>
      <c r="P58" s="136"/>
      <c r="Q58" s="137"/>
      <c r="R58" s="138"/>
      <c r="S58" s="138"/>
      <c r="T58" s="138"/>
      <c r="U58" s="138"/>
      <c r="V58" s="138"/>
      <c r="W58" s="138"/>
      <c r="X58" s="138"/>
      <c r="Y58" s="138"/>
      <c r="Z58" s="138"/>
    </row>
    <row r="59" ht="12.75" customHeight="1">
      <c r="A59" s="134" t="s">
        <v>958</v>
      </c>
      <c r="B59" s="135"/>
      <c r="C59" s="135"/>
      <c r="D59" s="135"/>
      <c r="E59" s="135"/>
      <c r="F59" s="135"/>
      <c r="G59" s="135"/>
      <c r="H59" s="135"/>
      <c r="I59" s="135"/>
      <c r="J59" s="135"/>
      <c r="K59" s="135"/>
      <c r="L59" s="135"/>
      <c r="M59" s="135"/>
      <c r="N59" s="135"/>
      <c r="O59" s="135"/>
      <c r="P59" s="136"/>
      <c r="Q59" s="137"/>
      <c r="R59" s="138"/>
      <c r="S59" s="138"/>
      <c r="T59" s="138"/>
      <c r="U59" s="138"/>
      <c r="V59" s="138"/>
      <c r="W59" s="138"/>
      <c r="X59" s="138"/>
      <c r="Y59" s="138"/>
      <c r="Z59" s="138"/>
    </row>
    <row r="60" ht="12.75" customHeight="1">
      <c r="A60" s="139" t="s">
        <v>959</v>
      </c>
      <c r="B60" s="139" t="s">
        <v>960</v>
      </c>
      <c r="C60" s="139" t="s">
        <v>961</v>
      </c>
      <c r="D60" s="139" t="s">
        <v>962</v>
      </c>
      <c r="E60" s="139" t="s">
        <v>963</v>
      </c>
      <c r="F60" s="139" t="s">
        <v>227</v>
      </c>
      <c r="G60" s="122">
        <v>45914.0</v>
      </c>
      <c r="H60" s="140" t="s">
        <v>749</v>
      </c>
      <c r="I60" s="120" t="s">
        <v>227</v>
      </c>
      <c r="J60" s="130">
        <v>45954.0</v>
      </c>
      <c r="K60" s="120" t="s">
        <v>782</v>
      </c>
      <c r="L60" s="120" t="s">
        <v>227</v>
      </c>
      <c r="M60" s="130">
        <v>45974.0</v>
      </c>
      <c r="N60" s="120" t="s">
        <v>749</v>
      </c>
      <c r="O60" s="140" t="s">
        <v>848</v>
      </c>
      <c r="P60" s="136"/>
      <c r="Q60" s="137"/>
      <c r="R60" s="138"/>
      <c r="S60" s="138"/>
      <c r="T60" s="138"/>
      <c r="U60" s="138"/>
      <c r="V60" s="138"/>
      <c r="W60" s="138"/>
      <c r="X60" s="138"/>
      <c r="Y60" s="138"/>
      <c r="Z60" s="138"/>
    </row>
    <row r="61" ht="12.75" customHeight="1">
      <c r="A61" s="139" t="s">
        <v>964</v>
      </c>
      <c r="B61" s="139" t="s">
        <v>965</v>
      </c>
      <c r="C61" s="139" t="s">
        <v>966</v>
      </c>
      <c r="D61" s="139" t="s">
        <v>967</v>
      </c>
      <c r="E61" s="139" t="s">
        <v>968</v>
      </c>
      <c r="F61" s="140" t="s">
        <v>227</v>
      </c>
      <c r="G61" s="122">
        <v>45914.0</v>
      </c>
      <c r="H61" s="140" t="s">
        <v>749</v>
      </c>
      <c r="I61" s="120" t="s">
        <v>227</v>
      </c>
      <c r="J61" s="130">
        <v>45954.0</v>
      </c>
      <c r="K61" s="120" t="s">
        <v>782</v>
      </c>
      <c r="L61" s="120" t="s">
        <v>227</v>
      </c>
      <c r="M61" s="130">
        <v>45974.0</v>
      </c>
      <c r="N61" s="120" t="s">
        <v>749</v>
      </c>
      <c r="O61" s="141"/>
      <c r="P61" s="136"/>
      <c r="Q61" s="137"/>
      <c r="R61" s="138"/>
      <c r="S61" s="138"/>
      <c r="T61" s="138"/>
      <c r="U61" s="138"/>
      <c r="V61" s="138"/>
      <c r="W61" s="138"/>
      <c r="X61" s="138"/>
      <c r="Y61" s="138"/>
      <c r="Z61" s="138"/>
    </row>
    <row r="62" ht="12.75" customHeight="1">
      <c r="A62" s="139" t="s">
        <v>969</v>
      </c>
      <c r="B62" s="139" t="s">
        <v>970</v>
      </c>
      <c r="C62" s="139" t="s">
        <v>971</v>
      </c>
      <c r="D62" s="139" t="s">
        <v>972</v>
      </c>
      <c r="E62" s="139" t="s">
        <v>949</v>
      </c>
      <c r="F62" s="140" t="s">
        <v>227</v>
      </c>
      <c r="G62" s="122">
        <v>45914.0</v>
      </c>
      <c r="H62" s="140" t="s">
        <v>749</v>
      </c>
      <c r="I62" s="120" t="s">
        <v>227</v>
      </c>
      <c r="J62" s="130">
        <v>45954.0</v>
      </c>
      <c r="K62" s="120" t="s">
        <v>782</v>
      </c>
      <c r="L62" s="120" t="s">
        <v>227</v>
      </c>
      <c r="M62" s="130">
        <v>45974.0</v>
      </c>
      <c r="N62" s="120" t="s">
        <v>749</v>
      </c>
      <c r="O62" s="141"/>
      <c r="P62" s="136"/>
      <c r="Q62" s="137"/>
      <c r="R62" s="138"/>
      <c r="S62" s="138"/>
      <c r="T62" s="138"/>
      <c r="U62" s="138"/>
      <c r="V62" s="138"/>
      <c r="W62" s="138"/>
      <c r="X62" s="138"/>
      <c r="Y62" s="138"/>
      <c r="Z62" s="138"/>
    </row>
    <row r="63" ht="12.75" customHeight="1">
      <c r="A63" s="139" t="s">
        <v>973</v>
      </c>
      <c r="B63" s="139" t="s">
        <v>974</v>
      </c>
      <c r="C63" s="139" t="s">
        <v>975</v>
      </c>
      <c r="D63" s="139" t="s">
        <v>976</v>
      </c>
      <c r="E63" s="139" t="s">
        <v>977</v>
      </c>
      <c r="F63" s="140" t="s">
        <v>227</v>
      </c>
      <c r="G63" s="122">
        <v>45914.0</v>
      </c>
      <c r="H63" s="140" t="s">
        <v>749</v>
      </c>
      <c r="I63" s="120" t="s">
        <v>227</v>
      </c>
      <c r="J63" s="130">
        <v>45954.0</v>
      </c>
      <c r="K63" s="120" t="s">
        <v>782</v>
      </c>
      <c r="L63" s="120" t="s">
        <v>227</v>
      </c>
      <c r="M63" s="130">
        <v>45974.0</v>
      </c>
      <c r="N63" s="120" t="s">
        <v>749</v>
      </c>
      <c r="O63" s="141"/>
      <c r="P63" s="136"/>
      <c r="Q63" s="137"/>
      <c r="R63" s="138"/>
      <c r="S63" s="138"/>
      <c r="T63" s="138"/>
      <c r="U63" s="138"/>
      <c r="V63" s="138"/>
      <c r="W63" s="138"/>
      <c r="X63" s="138"/>
      <c r="Y63" s="138"/>
      <c r="Z63" s="138"/>
    </row>
    <row r="64" ht="12.75" customHeight="1">
      <c r="A64" s="84"/>
      <c r="B64" s="84"/>
      <c r="C64" s="84"/>
      <c r="D64" s="84"/>
      <c r="E64" s="84"/>
      <c r="F64" s="84"/>
      <c r="G64" s="84"/>
      <c r="H64" s="84"/>
      <c r="I64" s="84"/>
      <c r="J64" s="84"/>
      <c r="K64" s="84"/>
      <c r="L64" s="84"/>
      <c r="M64" s="84"/>
      <c r="N64" s="84"/>
      <c r="O64" s="84"/>
      <c r="P64" s="10"/>
      <c r="Q64" s="8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8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8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8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8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8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8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8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8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8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8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8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8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8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8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8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8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8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8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8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8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8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8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8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8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8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8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8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8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8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8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8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8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8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8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8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8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8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8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8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8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8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8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8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8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8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8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8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8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8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8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8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8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8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8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8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8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8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8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8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8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8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8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8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8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8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8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8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8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8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8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8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8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8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8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8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8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8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8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8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8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8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8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8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8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8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8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8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8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8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8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8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8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8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8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8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8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8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8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8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8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8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8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8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8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8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8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8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8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8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8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8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8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8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8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8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8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8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8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8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8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8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8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8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8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8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8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8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8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8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8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8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8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8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8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8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8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8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8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8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8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8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8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8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8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8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8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8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8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8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8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8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8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8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8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8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8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8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8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8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8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8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8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8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8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8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8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8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8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8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8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8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8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8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8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8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8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8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8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8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8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8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8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8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8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8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8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8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8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8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8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8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8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8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8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8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8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8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8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8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8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8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8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8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8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8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8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8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8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8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8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8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8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8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8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8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8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8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8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8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8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8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8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8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8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8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8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8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8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8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8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8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8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8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8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8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8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8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8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8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8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8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8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8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8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8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8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8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8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8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8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8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8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8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8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8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8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8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8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8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8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8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8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8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8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8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8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8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8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8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8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8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8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8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8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8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8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8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8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8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8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8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8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8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8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8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8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8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8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8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8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8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8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8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8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8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8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8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8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8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8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8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8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8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8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8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8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8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8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8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8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8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8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8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8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8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8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8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8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8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8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8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8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8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8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8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8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8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8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8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8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8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8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8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8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8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8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8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8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8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8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8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8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8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8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8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8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8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8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8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8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8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8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8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8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8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8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8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8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8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8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8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8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8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8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8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8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8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8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8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8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8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8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8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8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8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8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8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8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8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8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8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8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8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8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8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8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8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8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8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8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8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8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8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8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8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8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8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8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8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8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8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8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8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8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8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8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8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8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8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8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8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8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8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8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8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8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8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8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8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8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8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8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8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8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8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8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8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8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8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8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8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8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8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8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8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8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8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8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8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8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8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8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8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8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8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8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8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8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8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8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8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8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8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8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8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8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8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8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8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8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8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8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8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8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8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8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8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8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8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8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8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8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8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8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8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8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8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8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8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8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8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8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8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8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8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8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8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8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8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8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8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8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8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8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8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8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8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8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8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8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8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8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8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8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8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8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8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8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8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8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8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8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8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8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8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8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8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8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8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8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8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8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8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8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8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8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8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8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8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8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8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8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8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8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8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8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8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8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8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8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8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8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8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8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8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8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8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8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8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8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8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8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8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8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8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8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8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8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8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8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8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8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8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8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8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8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8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8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8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8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8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8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8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8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8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8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8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8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8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8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8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8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8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8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8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8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8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8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8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8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8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8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8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8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8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8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8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8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8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8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8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8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8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8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8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8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8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8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8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8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8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8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8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8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8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8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8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8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8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8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8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8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8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8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8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8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8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8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8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8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8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8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8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8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8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8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8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8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8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8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8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8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8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8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8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8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8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8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8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8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8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8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8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8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8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8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8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8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8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8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8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8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8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8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8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8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8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8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8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8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8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8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8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8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8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8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8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8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8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8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8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8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8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8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8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8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8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8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8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8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8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8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8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8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8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8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8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8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8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8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8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8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8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8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8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8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8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8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8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8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8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8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8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8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8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8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8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8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8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8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8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8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8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8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8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8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8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8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8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8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8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8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8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8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8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8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8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8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8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8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8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8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8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8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8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8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8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8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8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8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8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8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8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8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8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8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8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8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8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8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8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8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8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8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8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8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8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8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8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8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8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8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8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8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8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8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8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8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8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8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8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8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8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8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8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8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8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8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8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8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8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8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8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8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8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8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8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8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8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8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8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8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8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8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8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8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8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8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8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8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8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8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8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8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8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8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8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8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8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8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8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8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8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8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8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8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8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8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8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8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8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8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8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8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8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8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8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8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8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8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8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8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8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8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8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8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89"/>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89"/>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89"/>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89"/>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89"/>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89"/>
      <c r="R916" s="10"/>
      <c r="S916" s="10"/>
      <c r="T916" s="10"/>
      <c r="U916" s="10"/>
      <c r="V916" s="10"/>
      <c r="W916" s="10"/>
      <c r="X916" s="10"/>
      <c r="Y916" s="10"/>
      <c r="Z916" s="10"/>
    </row>
  </sheetData>
  <mergeCells count="3">
    <mergeCell ref="B2:E2"/>
    <mergeCell ref="B3:E3"/>
    <mergeCell ref="B4:E4"/>
  </mergeCells>
  <dataValidations>
    <dataValidation type="list" allowBlank="1" showErrorMessage="1" sqref="G2:G3 J2:J3 M2:M3 G9 J9 M9 F12:F18 I12:I18 L12:L18 F20:F25 I20:I25 L20:L25 F27:F32 I27:I32 L27:L32 F34:F39 I34:I39 L34:L39 G40 J40 M40 F41:F44 I41:I44 L41:L44 J45 M45 F46:F49 I46:I49 L46:L49 J50 M50 F51:F53 I51:I53 L51:L53 G54 J54 M54 F55:F58 I55:I58 L55:L58 G59 J59 M59 F60:F63 I60:I63 L60:L63">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9.13"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89"/>
      <c r="R1" s="10"/>
      <c r="S1" s="10"/>
      <c r="T1" s="10"/>
      <c r="U1" s="10"/>
      <c r="V1" s="10"/>
      <c r="W1" s="10"/>
      <c r="X1" s="10"/>
      <c r="Y1" s="10"/>
      <c r="Z1" s="10"/>
    </row>
    <row r="2" ht="15.0" customHeight="1">
      <c r="A2" s="90" t="s">
        <v>236</v>
      </c>
      <c r="B2" s="91" t="s">
        <v>207</v>
      </c>
      <c r="C2" s="92"/>
      <c r="D2" s="92"/>
      <c r="E2" s="93"/>
      <c r="F2" s="94"/>
      <c r="G2" s="95"/>
      <c r="H2" s="40"/>
      <c r="I2" s="94"/>
      <c r="J2" s="95"/>
      <c r="K2" s="40"/>
      <c r="L2" s="94"/>
      <c r="M2" s="95"/>
      <c r="N2" s="40"/>
      <c r="O2" s="40"/>
      <c r="P2" s="40"/>
      <c r="Q2" s="96"/>
      <c r="R2" s="97" t="s">
        <v>227</v>
      </c>
      <c r="S2" s="97"/>
      <c r="T2" s="97"/>
      <c r="U2" s="97"/>
      <c r="V2" s="97"/>
      <c r="W2" s="97"/>
      <c r="X2" s="97"/>
      <c r="Y2" s="97"/>
      <c r="Z2" s="97"/>
    </row>
    <row r="3" ht="12.75" customHeight="1">
      <c r="A3" s="98" t="s">
        <v>237</v>
      </c>
      <c r="B3" s="99" t="s">
        <v>978</v>
      </c>
      <c r="C3" s="5"/>
      <c r="D3" s="5"/>
      <c r="E3" s="100"/>
      <c r="F3" s="94"/>
      <c r="G3" s="95"/>
      <c r="H3" s="40"/>
      <c r="I3" s="94"/>
      <c r="J3" s="95"/>
      <c r="K3" s="40"/>
      <c r="L3" s="94"/>
      <c r="M3" s="95"/>
      <c r="N3" s="40"/>
      <c r="O3" s="40"/>
      <c r="P3" s="40"/>
      <c r="Q3" s="96"/>
      <c r="R3" s="97" t="s">
        <v>228</v>
      </c>
      <c r="S3" s="97"/>
      <c r="T3" s="97"/>
      <c r="U3" s="97"/>
      <c r="V3" s="97"/>
      <c r="W3" s="97"/>
      <c r="X3" s="97"/>
      <c r="Y3" s="97"/>
      <c r="Z3" s="97"/>
    </row>
    <row r="4" ht="18.0" customHeight="1">
      <c r="A4" s="98" t="s">
        <v>239</v>
      </c>
      <c r="B4" s="127">
        <f>COUNTA(A12:A896)-6</f>
        <v>26</v>
      </c>
      <c r="C4" s="5"/>
      <c r="D4" s="5"/>
      <c r="E4" s="100"/>
      <c r="F4" s="94"/>
      <c r="G4" s="95"/>
      <c r="H4" s="40"/>
      <c r="I4" s="94"/>
      <c r="J4" s="95"/>
      <c r="K4" s="40"/>
      <c r="L4" s="94"/>
      <c r="M4" s="95"/>
      <c r="N4" s="40"/>
      <c r="O4" s="40"/>
      <c r="P4" s="40"/>
      <c r="Q4" s="96"/>
      <c r="R4" s="97" t="s">
        <v>229</v>
      </c>
      <c r="S4" s="97"/>
      <c r="T4" s="97"/>
      <c r="U4" s="97"/>
      <c r="V4" s="97"/>
      <c r="W4" s="97"/>
      <c r="X4" s="97"/>
      <c r="Y4" s="97"/>
      <c r="Z4" s="97"/>
    </row>
    <row r="5" ht="19.5" customHeight="1">
      <c r="A5" s="101" t="s">
        <v>240</v>
      </c>
      <c r="B5" s="102" t="s">
        <v>227</v>
      </c>
      <c r="C5" s="102" t="s">
        <v>228</v>
      </c>
      <c r="D5" s="102" t="s">
        <v>229</v>
      </c>
      <c r="E5" s="103" t="s">
        <v>230</v>
      </c>
      <c r="F5" s="104"/>
      <c r="G5" s="104"/>
      <c r="H5" s="105"/>
      <c r="I5" s="104"/>
      <c r="J5" s="104"/>
      <c r="K5" s="105"/>
      <c r="L5" s="104"/>
      <c r="M5" s="104"/>
      <c r="N5" s="105"/>
      <c r="O5" s="105"/>
      <c r="P5" s="105"/>
      <c r="Q5" s="106"/>
      <c r="R5" s="97" t="s">
        <v>230</v>
      </c>
      <c r="S5" s="97"/>
      <c r="T5" s="97"/>
      <c r="U5" s="97"/>
      <c r="V5" s="97"/>
      <c r="W5" s="97"/>
      <c r="X5" s="97"/>
      <c r="Y5" s="97"/>
      <c r="Z5" s="97"/>
    </row>
    <row r="6" ht="15.0" customHeight="1">
      <c r="A6" s="101" t="s">
        <v>241</v>
      </c>
      <c r="B6" s="107">
        <f t="shared" ref="B6:E6" si="1">COUNTIF($F10:$F894,B5)</f>
        <v>23</v>
      </c>
      <c r="C6" s="107">
        <f t="shared" si="1"/>
        <v>2</v>
      </c>
      <c r="D6" s="107">
        <f t="shared" si="1"/>
        <v>1</v>
      </c>
      <c r="E6" s="108">
        <f t="shared" si="1"/>
        <v>0</v>
      </c>
      <c r="F6" s="109"/>
      <c r="G6" s="109"/>
      <c r="H6" s="105"/>
      <c r="I6" s="109"/>
      <c r="J6" s="109"/>
      <c r="K6" s="105"/>
      <c r="L6" s="109"/>
      <c r="M6" s="109"/>
      <c r="N6" s="105"/>
      <c r="O6" s="105"/>
      <c r="P6" s="105"/>
      <c r="Q6" s="106"/>
      <c r="R6" s="97"/>
      <c r="S6" s="97"/>
      <c r="T6" s="97"/>
      <c r="U6" s="97"/>
      <c r="V6" s="97"/>
      <c r="W6" s="97"/>
      <c r="X6" s="97"/>
      <c r="Y6" s="97"/>
      <c r="Z6" s="97"/>
    </row>
    <row r="7" ht="15.0" customHeight="1">
      <c r="A7" s="101" t="s">
        <v>242</v>
      </c>
      <c r="B7" s="107">
        <f t="shared" ref="B7:C7" si="2">COUNTIF($I10:$I894,B5)</f>
        <v>23</v>
      </c>
      <c r="C7" s="107">
        <f t="shared" si="2"/>
        <v>2</v>
      </c>
      <c r="D7" s="107">
        <f t="shared" ref="D7:E7" si="3">COUNTIF($F10:$F894,D5)</f>
        <v>1</v>
      </c>
      <c r="E7" s="108">
        <f t="shared" si="3"/>
        <v>0</v>
      </c>
      <c r="F7" s="109"/>
      <c r="G7" s="109"/>
      <c r="H7" s="105"/>
      <c r="I7" s="109"/>
      <c r="J7" s="109"/>
      <c r="K7" s="105"/>
      <c r="L7" s="109"/>
      <c r="M7" s="109"/>
      <c r="N7" s="105"/>
      <c r="O7" s="105"/>
      <c r="P7" s="105"/>
      <c r="Q7" s="106"/>
      <c r="R7" s="97"/>
      <c r="S7" s="97"/>
      <c r="T7" s="97"/>
      <c r="U7" s="97"/>
      <c r="V7" s="97"/>
      <c r="W7" s="97"/>
      <c r="X7" s="97"/>
      <c r="Y7" s="97"/>
      <c r="Z7" s="97"/>
    </row>
    <row r="8" ht="15.0" customHeight="1">
      <c r="A8" s="110" t="s">
        <v>243</v>
      </c>
      <c r="B8" s="111">
        <f t="shared" ref="B8:C8" si="4">COUNTIF($L10:$L894,B5)</f>
        <v>23</v>
      </c>
      <c r="C8" s="111">
        <f t="shared" si="4"/>
        <v>0</v>
      </c>
      <c r="D8" s="111">
        <f t="shared" ref="D8:E8" si="5">COUNTIF($F10:$F894,D5)</f>
        <v>1</v>
      </c>
      <c r="E8" s="112">
        <f t="shared" si="5"/>
        <v>0</v>
      </c>
      <c r="F8" s="109"/>
      <c r="G8" s="109"/>
      <c r="H8" s="105"/>
      <c r="I8" s="109"/>
      <c r="J8" s="109"/>
      <c r="K8" s="105"/>
      <c r="L8" s="109"/>
      <c r="M8" s="109"/>
      <c r="N8" s="105"/>
      <c r="O8" s="105"/>
      <c r="P8" s="105"/>
      <c r="Q8" s="106"/>
      <c r="R8" s="97"/>
      <c r="S8" s="97"/>
      <c r="T8" s="97"/>
      <c r="U8" s="97"/>
      <c r="V8" s="97"/>
      <c r="W8" s="97"/>
      <c r="X8" s="97"/>
      <c r="Y8" s="97"/>
      <c r="Z8" s="97"/>
    </row>
    <row r="9" ht="15.0" customHeight="1">
      <c r="A9" s="105"/>
      <c r="B9" s="105"/>
      <c r="C9" s="105"/>
      <c r="D9" s="105"/>
      <c r="E9" s="105"/>
      <c r="F9" s="88"/>
      <c r="G9" s="105"/>
      <c r="H9" s="105"/>
      <c r="I9" s="88"/>
      <c r="J9" s="105"/>
      <c r="K9" s="105"/>
      <c r="L9" s="88"/>
      <c r="M9" s="105"/>
      <c r="N9" s="105"/>
      <c r="O9" s="105"/>
      <c r="P9" s="105"/>
      <c r="Q9" s="106"/>
      <c r="R9" s="97"/>
      <c r="S9" s="97"/>
      <c r="T9" s="97"/>
      <c r="U9" s="97"/>
      <c r="V9" s="97"/>
      <c r="W9" s="97"/>
      <c r="X9" s="97"/>
      <c r="Y9" s="97"/>
      <c r="Z9" s="97"/>
    </row>
    <row r="10" ht="25.5" customHeight="1">
      <c r="A10" s="114" t="s">
        <v>244</v>
      </c>
      <c r="B10" s="114" t="s">
        <v>245</v>
      </c>
      <c r="C10" s="114" t="s">
        <v>246</v>
      </c>
      <c r="D10" s="114" t="s">
        <v>247</v>
      </c>
      <c r="E10" s="114" t="s">
        <v>248</v>
      </c>
      <c r="F10" s="114" t="s">
        <v>241</v>
      </c>
      <c r="G10" s="114" t="s">
        <v>249</v>
      </c>
      <c r="H10" s="114" t="s">
        <v>250</v>
      </c>
      <c r="I10" s="114" t="s">
        <v>242</v>
      </c>
      <c r="J10" s="114" t="s">
        <v>249</v>
      </c>
      <c r="K10" s="114" t="s">
        <v>250</v>
      </c>
      <c r="L10" s="114" t="s">
        <v>243</v>
      </c>
      <c r="M10" s="114" t="s">
        <v>249</v>
      </c>
      <c r="N10" s="114" t="s">
        <v>250</v>
      </c>
      <c r="O10" s="114" t="s">
        <v>251</v>
      </c>
      <c r="P10" s="97"/>
      <c r="Q10" s="115"/>
      <c r="R10" s="97"/>
      <c r="S10" s="97"/>
      <c r="T10" s="97"/>
      <c r="U10" s="97"/>
      <c r="V10" s="97"/>
      <c r="W10" s="97"/>
      <c r="X10" s="97"/>
      <c r="Y10" s="97"/>
      <c r="Z10" s="97"/>
    </row>
    <row r="11" ht="15.75" customHeight="1">
      <c r="A11" s="116" t="s">
        <v>979</v>
      </c>
      <c r="B11" s="117"/>
      <c r="C11" s="117"/>
      <c r="D11" s="117"/>
      <c r="E11" s="117"/>
      <c r="F11" s="117"/>
      <c r="G11" s="117"/>
      <c r="H11" s="117"/>
      <c r="I11" s="117"/>
      <c r="J11" s="117"/>
      <c r="K11" s="117"/>
      <c r="L11" s="117"/>
      <c r="M11" s="117"/>
      <c r="N11" s="117"/>
      <c r="O11" s="117"/>
      <c r="P11" s="118"/>
      <c r="Q11" s="119"/>
      <c r="R11" s="97"/>
      <c r="S11" s="97"/>
      <c r="T11" s="97"/>
      <c r="U11" s="97"/>
      <c r="V11" s="97"/>
      <c r="W11" s="97"/>
      <c r="X11" s="97"/>
      <c r="Y11" s="97"/>
      <c r="Z11" s="97"/>
    </row>
    <row r="12" ht="54.0" customHeight="1" outlineLevel="1">
      <c r="A12" s="120" t="s">
        <v>980</v>
      </c>
      <c r="B12" s="128" t="s">
        <v>981</v>
      </c>
      <c r="C12" s="129" t="s">
        <v>982</v>
      </c>
      <c r="D12" s="129" t="s">
        <v>983</v>
      </c>
      <c r="E12" s="129" t="s">
        <v>984</v>
      </c>
      <c r="F12" s="120" t="s">
        <v>227</v>
      </c>
      <c r="G12" s="122">
        <v>45914.0</v>
      </c>
      <c r="H12" s="120" t="s">
        <v>259</v>
      </c>
      <c r="I12" s="120" t="s">
        <v>227</v>
      </c>
      <c r="J12" s="130">
        <v>45954.0</v>
      </c>
      <c r="K12" s="120" t="s">
        <v>259</v>
      </c>
      <c r="L12" s="120" t="s">
        <v>227</v>
      </c>
      <c r="M12" s="130">
        <v>45974.0</v>
      </c>
      <c r="N12" s="120" t="s">
        <v>749</v>
      </c>
      <c r="O12" s="123"/>
      <c r="P12" s="131"/>
      <c r="Q12" s="124"/>
      <c r="R12" s="132"/>
      <c r="S12" s="132"/>
      <c r="T12" s="132"/>
      <c r="U12" s="132"/>
      <c r="V12" s="132"/>
      <c r="W12" s="132"/>
      <c r="X12" s="132"/>
      <c r="Y12" s="132"/>
      <c r="Z12" s="132"/>
    </row>
    <row r="13" ht="12.75" customHeight="1" outlineLevel="1">
      <c r="A13" s="120" t="s">
        <v>985</v>
      </c>
      <c r="B13" s="120" t="s">
        <v>986</v>
      </c>
      <c r="C13" s="120" t="s">
        <v>987</v>
      </c>
      <c r="D13" s="121" t="s">
        <v>988</v>
      </c>
      <c r="E13" s="121" t="s">
        <v>989</v>
      </c>
      <c r="F13" s="120" t="s">
        <v>227</v>
      </c>
      <c r="G13" s="122">
        <v>45914.0</v>
      </c>
      <c r="H13" s="120" t="s">
        <v>259</v>
      </c>
      <c r="I13" s="120" t="s">
        <v>227</v>
      </c>
      <c r="J13" s="130">
        <v>45954.0</v>
      </c>
      <c r="K13" s="120" t="s">
        <v>259</v>
      </c>
      <c r="L13" s="120" t="s">
        <v>229</v>
      </c>
      <c r="M13" s="130">
        <v>45974.0</v>
      </c>
      <c r="N13" s="120" t="s">
        <v>749</v>
      </c>
      <c r="O13" s="123"/>
      <c r="P13" s="57"/>
      <c r="Q13" s="124"/>
      <c r="R13" s="10"/>
      <c r="S13" s="10"/>
      <c r="T13" s="10"/>
      <c r="U13" s="10"/>
      <c r="V13" s="10"/>
      <c r="W13" s="10"/>
      <c r="X13" s="10"/>
      <c r="Y13" s="10"/>
      <c r="Z13" s="10"/>
    </row>
    <row r="14" ht="12.75" customHeight="1" outlineLevel="1">
      <c r="A14" s="120" t="s">
        <v>990</v>
      </c>
      <c r="B14" s="120" t="s">
        <v>991</v>
      </c>
      <c r="C14" s="120" t="s">
        <v>992</v>
      </c>
      <c r="D14" s="121" t="s">
        <v>993</v>
      </c>
      <c r="E14" s="121" t="s">
        <v>989</v>
      </c>
      <c r="F14" s="120" t="s">
        <v>227</v>
      </c>
      <c r="G14" s="122">
        <v>45914.0</v>
      </c>
      <c r="H14" s="120" t="s">
        <v>259</v>
      </c>
      <c r="I14" s="120" t="s">
        <v>227</v>
      </c>
      <c r="J14" s="130">
        <v>45954.0</v>
      </c>
      <c r="K14" s="120" t="s">
        <v>259</v>
      </c>
      <c r="L14" s="120" t="s">
        <v>227</v>
      </c>
      <c r="M14" s="130">
        <v>45974.0</v>
      </c>
      <c r="N14" s="120" t="s">
        <v>749</v>
      </c>
      <c r="O14" s="123"/>
      <c r="P14" s="57"/>
      <c r="Q14" s="124"/>
      <c r="R14" s="10"/>
      <c r="S14" s="10"/>
      <c r="T14" s="10"/>
      <c r="U14" s="10"/>
      <c r="V14" s="10"/>
      <c r="W14" s="10"/>
      <c r="X14" s="10"/>
      <c r="Y14" s="10"/>
      <c r="Z14" s="10"/>
    </row>
    <row r="15" ht="12.75" customHeight="1" outlineLevel="1">
      <c r="A15" s="120" t="s">
        <v>994</v>
      </c>
      <c r="B15" s="120" t="s">
        <v>995</v>
      </c>
      <c r="C15" s="120" t="s">
        <v>996</v>
      </c>
      <c r="D15" s="121" t="s">
        <v>997</v>
      </c>
      <c r="E15" s="121" t="s">
        <v>989</v>
      </c>
      <c r="F15" s="120" t="s">
        <v>227</v>
      </c>
      <c r="G15" s="122">
        <v>45914.0</v>
      </c>
      <c r="H15" s="120" t="s">
        <v>259</v>
      </c>
      <c r="I15" s="120" t="s">
        <v>227</v>
      </c>
      <c r="J15" s="130">
        <v>45954.0</v>
      </c>
      <c r="K15" s="120" t="s">
        <v>259</v>
      </c>
      <c r="L15" s="120" t="s">
        <v>227</v>
      </c>
      <c r="M15" s="130">
        <v>45974.0</v>
      </c>
      <c r="N15" s="120" t="s">
        <v>749</v>
      </c>
      <c r="O15" s="123"/>
      <c r="P15" s="57"/>
      <c r="Q15" s="124"/>
      <c r="R15" s="10"/>
      <c r="S15" s="10"/>
      <c r="T15" s="10"/>
      <c r="U15" s="10"/>
      <c r="V15" s="10"/>
      <c r="W15" s="10"/>
      <c r="X15" s="10"/>
      <c r="Y15" s="10"/>
      <c r="Z15" s="10"/>
    </row>
    <row r="16" ht="12.75" customHeight="1" outlineLevel="1">
      <c r="A16" s="120" t="s">
        <v>998</v>
      </c>
      <c r="B16" s="120" t="s">
        <v>999</v>
      </c>
      <c r="C16" s="120" t="s">
        <v>1000</v>
      </c>
      <c r="D16" s="121" t="s">
        <v>1001</v>
      </c>
      <c r="E16" s="121" t="s">
        <v>1002</v>
      </c>
      <c r="F16" s="120" t="s">
        <v>228</v>
      </c>
      <c r="G16" s="122">
        <v>45914.0</v>
      </c>
      <c r="H16" s="120" t="s">
        <v>259</v>
      </c>
      <c r="I16" s="120" t="s">
        <v>227</v>
      </c>
      <c r="J16" s="130">
        <v>45954.0</v>
      </c>
      <c r="K16" s="120" t="s">
        <v>259</v>
      </c>
      <c r="L16" s="120" t="s">
        <v>227</v>
      </c>
      <c r="M16" s="130">
        <v>45974.0</v>
      </c>
      <c r="N16" s="120" t="s">
        <v>749</v>
      </c>
      <c r="O16" s="123"/>
      <c r="P16" s="57"/>
      <c r="Q16" s="124"/>
      <c r="R16" s="10"/>
      <c r="S16" s="10"/>
      <c r="T16" s="10"/>
      <c r="U16" s="10"/>
      <c r="V16" s="10"/>
      <c r="W16" s="10"/>
      <c r="X16" s="10"/>
      <c r="Y16" s="10"/>
      <c r="Z16" s="10"/>
    </row>
    <row r="17" ht="15.75" customHeight="1">
      <c r="A17" s="116" t="s">
        <v>1003</v>
      </c>
      <c r="B17" s="117"/>
      <c r="C17" s="117"/>
      <c r="D17" s="117"/>
      <c r="E17" s="117"/>
      <c r="F17" s="117"/>
      <c r="G17" s="117"/>
      <c r="H17" s="117"/>
      <c r="I17" s="117"/>
      <c r="J17" s="117"/>
      <c r="K17" s="117"/>
      <c r="L17" s="117"/>
      <c r="M17" s="117"/>
      <c r="N17" s="117"/>
      <c r="O17" s="117"/>
      <c r="P17" s="118"/>
      <c r="Q17" s="119"/>
      <c r="R17" s="97"/>
      <c r="S17" s="97"/>
      <c r="T17" s="97"/>
      <c r="U17" s="97"/>
      <c r="V17" s="97"/>
      <c r="W17" s="97"/>
      <c r="X17" s="97"/>
      <c r="Y17" s="97"/>
      <c r="Z17" s="97"/>
    </row>
    <row r="18" ht="12.75" customHeight="1" outlineLevel="1">
      <c r="A18" s="120" t="s">
        <v>1004</v>
      </c>
      <c r="B18" s="120" t="s">
        <v>1005</v>
      </c>
      <c r="C18" s="120" t="s">
        <v>1006</v>
      </c>
      <c r="D18" s="120" t="s">
        <v>1007</v>
      </c>
      <c r="E18" s="120" t="s">
        <v>1008</v>
      </c>
      <c r="F18" s="120" t="s">
        <v>227</v>
      </c>
      <c r="G18" s="122">
        <v>45914.0</v>
      </c>
      <c r="H18" s="120" t="s">
        <v>259</v>
      </c>
      <c r="I18" s="120" t="s">
        <v>228</v>
      </c>
      <c r="J18" s="130">
        <v>45954.0</v>
      </c>
      <c r="K18" s="120" t="s">
        <v>259</v>
      </c>
      <c r="L18" s="120" t="s">
        <v>227</v>
      </c>
      <c r="M18" s="130">
        <v>45974.0</v>
      </c>
      <c r="N18" s="120" t="s">
        <v>749</v>
      </c>
      <c r="O18" s="123"/>
      <c r="P18" s="57"/>
      <c r="Q18" s="124"/>
      <c r="R18" s="10"/>
      <c r="S18" s="10"/>
      <c r="T18" s="10"/>
      <c r="U18" s="10"/>
      <c r="V18" s="10"/>
      <c r="W18" s="10"/>
      <c r="X18" s="10"/>
      <c r="Y18" s="10"/>
      <c r="Z18" s="10"/>
    </row>
    <row r="19" ht="12.75" customHeight="1" outlineLevel="1">
      <c r="A19" s="120" t="s">
        <v>1009</v>
      </c>
      <c r="B19" s="120" t="s">
        <v>1010</v>
      </c>
      <c r="C19" s="120" t="s">
        <v>1011</v>
      </c>
      <c r="D19" s="120" t="s">
        <v>1012</v>
      </c>
      <c r="E19" s="120" t="s">
        <v>1013</v>
      </c>
      <c r="F19" s="120" t="s">
        <v>228</v>
      </c>
      <c r="G19" s="122">
        <v>45914.0</v>
      </c>
      <c r="H19" s="120" t="s">
        <v>259</v>
      </c>
      <c r="I19" s="120" t="s">
        <v>227</v>
      </c>
      <c r="J19" s="130">
        <v>45954.0</v>
      </c>
      <c r="K19" s="120" t="s">
        <v>259</v>
      </c>
      <c r="L19" s="120" t="s">
        <v>227</v>
      </c>
      <c r="M19" s="130">
        <v>45974.0</v>
      </c>
      <c r="N19" s="120" t="s">
        <v>749</v>
      </c>
      <c r="O19" s="79"/>
      <c r="P19" s="57"/>
      <c r="Q19" s="89"/>
      <c r="R19" s="10"/>
      <c r="S19" s="10"/>
      <c r="T19" s="10"/>
      <c r="U19" s="10"/>
      <c r="V19" s="10"/>
      <c r="W19" s="10"/>
      <c r="X19" s="10"/>
      <c r="Y19" s="10"/>
      <c r="Z19" s="10"/>
    </row>
    <row r="20" ht="12.75" customHeight="1" outlineLevel="1">
      <c r="A20" s="120" t="s">
        <v>1014</v>
      </c>
      <c r="B20" s="120" t="s">
        <v>1015</v>
      </c>
      <c r="C20" s="120" t="s">
        <v>1016</v>
      </c>
      <c r="D20" s="120" t="s">
        <v>1017</v>
      </c>
      <c r="E20" s="120" t="s">
        <v>685</v>
      </c>
      <c r="F20" s="120" t="s">
        <v>227</v>
      </c>
      <c r="G20" s="122">
        <v>45914.0</v>
      </c>
      <c r="H20" s="120" t="s">
        <v>259</v>
      </c>
      <c r="I20" s="120" t="s">
        <v>227</v>
      </c>
      <c r="J20" s="130">
        <v>45954.0</v>
      </c>
      <c r="K20" s="120" t="s">
        <v>259</v>
      </c>
      <c r="L20" s="120" t="s">
        <v>229</v>
      </c>
      <c r="M20" s="130">
        <v>45974.0</v>
      </c>
      <c r="N20" s="120" t="s">
        <v>749</v>
      </c>
      <c r="O20" s="79"/>
      <c r="P20" s="57"/>
      <c r="Q20" s="89"/>
      <c r="R20" s="10"/>
      <c r="S20" s="10"/>
      <c r="T20" s="10"/>
      <c r="U20" s="10"/>
      <c r="V20" s="10"/>
      <c r="W20" s="10"/>
      <c r="X20" s="10"/>
      <c r="Y20" s="10"/>
      <c r="Z20" s="10"/>
    </row>
    <row r="21" ht="15.75" customHeight="1">
      <c r="A21" s="116" t="s">
        <v>1018</v>
      </c>
      <c r="B21" s="117"/>
      <c r="C21" s="117"/>
      <c r="D21" s="117"/>
      <c r="E21" s="117"/>
      <c r="F21" s="117"/>
      <c r="G21" s="117"/>
      <c r="H21" s="117"/>
      <c r="I21" s="117"/>
      <c r="J21" s="117"/>
      <c r="K21" s="117"/>
      <c r="L21" s="117"/>
      <c r="M21" s="117"/>
      <c r="N21" s="117"/>
      <c r="O21" s="117"/>
      <c r="P21" s="118"/>
      <c r="Q21" s="119"/>
      <c r="R21" s="97"/>
      <c r="S21" s="97"/>
      <c r="T21" s="97"/>
      <c r="U21" s="97"/>
      <c r="V21" s="97"/>
      <c r="W21" s="97"/>
      <c r="X21" s="97"/>
      <c r="Y21" s="97"/>
      <c r="Z21" s="97"/>
    </row>
    <row r="22" ht="12.75" customHeight="1">
      <c r="A22" s="120" t="s">
        <v>1019</v>
      </c>
      <c r="B22" s="120" t="s">
        <v>1020</v>
      </c>
      <c r="C22" s="120" t="s">
        <v>1021</v>
      </c>
      <c r="D22" s="120" t="s">
        <v>1022</v>
      </c>
      <c r="E22" s="120" t="s">
        <v>1023</v>
      </c>
      <c r="F22" s="120" t="s">
        <v>227</v>
      </c>
      <c r="G22" s="122">
        <v>45914.0</v>
      </c>
      <c r="H22" s="120" t="s">
        <v>259</v>
      </c>
      <c r="I22" s="120" t="s">
        <v>227</v>
      </c>
      <c r="J22" s="130">
        <v>45954.0</v>
      </c>
      <c r="K22" s="120" t="s">
        <v>259</v>
      </c>
      <c r="L22" s="120" t="s">
        <v>227</v>
      </c>
      <c r="M22" s="130">
        <v>45974.0</v>
      </c>
      <c r="N22" s="120" t="s">
        <v>749</v>
      </c>
      <c r="O22" s="123"/>
      <c r="P22" s="57"/>
      <c r="Q22" s="89"/>
      <c r="R22" s="10"/>
      <c r="S22" s="10"/>
      <c r="T22" s="10"/>
      <c r="U22" s="10"/>
      <c r="V22" s="10"/>
      <c r="W22" s="10"/>
      <c r="X22" s="10"/>
      <c r="Y22" s="10"/>
      <c r="Z22" s="10"/>
    </row>
    <row r="23" ht="12.75" customHeight="1">
      <c r="A23" s="120" t="s">
        <v>1024</v>
      </c>
      <c r="B23" s="120" t="s">
        <v>1025</v>
      </c>
      <c r="C23" s="120" t="s">
        <v>1026</v>
      </c>
      <c r="D23" s="120" t="s">
        <v>1027</v>
      </c>
      <c r="E23" s="120" t="s">
        <v>1028</v>
      </c>
      <c r="F23" s="120" t="s">
        <v>227</v>
      </c>
      <c r="G23" s="122">
        <v>45914.0</v>
      </c>
      <c r="H23" s="120" t="s">
        <v>259</v>
      </c>
      <c r="I23" s="120" t="s">
        <v>228</v>
      </c>
      <c r="J23" s="130">
        <v>45954.0</v>
      </c>
      <c r="K23" s="120" t="s">
        <v>259</v>
      </c>
      <c r="L23" s="120" t="s">
        <v>227</v>
      </c>
      <c r="M23" s="130">
        <v>45974.0</v>
      </c>
      <c r="N23" s="120" t="s">
        <v>749</v>
      </c>
      <c r="O23" s="79"/>
      <c r="P23" s="57"/>
      <c r="Q23" s="89"/>
      <c r="R23" s="10"/>
      <c r="S23" s="10"/>
      <c r="T23" s="10"/>
      <c r="U23" s="10"/>
      <c r="V23" s="10"/>
      <c r="W23" s="10"/>
      <c r="X23" s="10"/>
      <c r="Y23" s="10"/>
      <c r="Z23" s="10"/>
    </row>
    <row r="24" ht="12.75" customHeight="1">
      <c r="A24" s="120" t="s">
        <v>1029</v>
      </c>
      <c r="B24" s="120" t="s">
        <v>1030</v>
      </c>
      <c r="C24" s="120" t="s">
        <v>1031</v>
      </c>
      <c r="D24" s="120" t="s">
        <v>1032</v>
      </c>
      <c r="E24" s="120" t="s">
        <v>1033</v>
      </c>
      <c r="F24" s="120" t="s">
        <v>227</v>
      </c>
      <c r="G24" s="122">
        <v>45914.0</v>
      </c>
      <c r="H24" s="120" t="s">
        <v>259</v>
      </c>
      <c r="I24" s="120" t="s">
        <v>227</v>
      </c>
      <c r="J24" s="130">
        <v>45954.0</v>
      </c>
      <c r="K24" s="120" t="s">
        <v>259</v>
      </c>
      <c r="L24" s="120" t="s">
        <v>227</v>
      </c>
      <c r="M24" s="130">
        <v>45974.0</v>
      </c>
      <c r="N24" s="120" t="s">
        <v>749</v>
      </c>
      <c r="O24" s="79"/>
      <c r="P24" s="57"/>
      <c r="Q24" s="89"/>
      <c r="R24" s="10"/>
      <c r="S24" s="10"/>
      <c r="T24" s="10"/>
      <c r="U24" s="10"/>
      <c r="V24" s="10"/>
      <c r="W24" s="10"/>
      <c r="X24" s="10"/>
      <c r="Y24" s="10"/>
      <c r="Z24" s="10"/>
    </row>
    <row r="25" ht="12.75" customHeight="1">
      <c r="A25" s="120" t="s">
        <v>1034</v>
      </c>
      <c r="B25" s="120" t="s">
        <v>1035</v>
      </c>
      <c r="C25" s="120" t="s">
        <v>1036</v>
      </c>
      <c r="D25" s="120" t="s">
        <v>1037</v>
      </c>
      <c r="E25" s="120" t="s">
        <v>1038</v>
      </c>
      <c r="F25" s="120" t="s">
        <v>227</v>
      </c>
      <c r="G25" s="122">
        <v>45914.0</v>
      </c>
      <c r="H25" s="120" t="s">
        <v>259</v>
      </c>
      <c r="I25" s="120" t="s">
        <v>227</v>
      </c>
      <c r="J25" s="130">
        <v>45954.0</v>
      </c>
      <c r="K25" s="120" t="s">
        <v>259</v>
      </c>
      <c r="L25" s="120" t="s">
        <v>227</v>
      </c>
      <c r="M25" s="130">
        <v>45974.0</v>
      </c>
      <c r="N25" s="120" t="s">
        <v>749</v>
      </c>
      <c r="O25" s="79"/>
      <c r="P25" s="57"/>
      <c r="Q25" s="89"/>
      <c r="R25" s="10"/>
      <c r="S25" s="10"/>
      <c r="T25" s="10"/>
      <c r="U25" s="10"/>
      <c r="V25" s="10"/>
      <c r="W25" s="10"/>
      <c r="X25" s="10"/>
      <c r="Y25" s="10"/>
      <c r="Z25" s="10"/>
    </row>
    <row r="26" ht="12.75" customHeight="1">
      <c r="A26" s="120" t="s">
        <v>1039</v>
      </c>
      <c r="B26" s="120" t="s">
        <v>1040</v>
      </c>
      <c r="C26" s="120" t="s">
        <v>1041</v>
      </c>
      <c r="D26" s="120" t="s">
        <v>1042</v>
      </c>
      <c r="E26" s="120" t="s">
        <v>1043</v>
      </c>
      <c r="F26" s="120" t="s">
        <v>227</v>
      </c>
      <c r="G26" s="122">
        <v>45914.0</v>
      </c>
      <c r="H26" s="120" t="s">
        <v>259</v>
      </c>
      <c r="I26" s="120" t="s">
        <v>227</v>
      </c>
      <c r="J26" s="130">
        <v>45954.0</v>
      </c>
      <c r="K26" s="120" t="s">
        <v>259</v>
      </c>
      <c r="L26" s="120" t="s">
        <v>227</v>
      </c>
      <c r="M26" s="130">
        <v>45974.0</v>
      </c>
      <c r="N26" s="120" t="s">
        <v>749</v>
      </c>
      <c r="O26" s="79"/>
      <c r="P26" s="57"/>
      <c r="Q26" s="89"/>
      <c r="R26" s="10"/>
      <c r="S26" s="10"/>
      <c r="T26" s="10"/>
      <c r="U26" s="10"/>
      <c r="V26" s="10"/>
      <c r="W26" s="10"/>
      <c r="X26" s="10"/>
      <c r="Y26" s="10"/>
      <c r="Z26" s="10"/>
    </row>
    <row r="27" ht="15.75" customHeight="1">
      <c r="A27" s="116" t="s">
        <v>1044</v>
      </c>
      <c r="B27" s="117"/>
      <c r="C27" s="117"/>
      <c r="D27" s="117"/>
      <c r="E27" s="117"/>
      <c r="F27" s="117"/>
      <c r="G27" s="117"/>
      <c r="H27" s="117"/>
      <c r="I27" s="117"/>
      <c r="J27" s="117"/>
      <c r="K27" s="117"/>
      <c r="L27" s="117"/>
      <c r="M27" s="117"/>
      <c r="N27" s="117"/>
      <c r="O27" s="117"/>
      <c r="P27" s="118"/>
      <c r="Q27" s="119"/>
      <c r="R27" s="97"/>
      <c r="S27" s="97"/>
      <c r="T27" s="97"/>
      <c r="U27" s="97"/>
      <c r="V27" s="97"/>
      <c r="W27" s="97"/>
      <c r="X27" s="97"/>
      <c r="Y27" s="97"/>
      <c r="Z27" s="97"/>
    </row>
    <row r="28" ht="12.75" customHeight="1">
      <c r="A28" s="120" t="s">
        <v>1045</v>
      </c>
      <c r="B28" s="120" t="s">
        <v>1046</v>
      </c>
      <c r="C28" s="120" t="s">
        <v>1047</v>
      </c>
      <c r="D28" s="120" t="s">
        <v>1048</v>
      </c>
      <c r="E28" s="120" t="s">
        <v>1049</v>
      </c>
      <c r="F28" s="120" t="s">
        <v>227</v>
      </c>
      <c r="G28" s="122">
        <v>45914.0</v>
      </c>
      <c r="H28" s="120" t="s">
        <v>259</v>
      </c>
      <c r="I28" s="120" t="s">
        <v>227</v>
      </c>
      <c r="J28" s="130">
        <v>45954.0</v>
      </c>
      <c r="K28" s="120" t="s">
        <v>259</v>
      </c>
      <c r="L28" s="120" t="s">
        <v>227</v>
      </c>
      <c r="M28" s="130">
        <v>45974.0</v>
      </c>
      <c r="N28" s="120" t="s">
        <v>749</v>
      </c>
      <c r="O28" s="79"/>
      <c r="P28" s="57"/>
      <c r="Q28" s="89"/>
      <c r="R28" s="10"/>
      <c r="S28" s="10"/>
      <c r="T28" s="10"/>
      <c r="U28" s="10"/>
      <c r="V28" s="10"/>
      <c r="W28" s="10"/>
      <c r="X28" s="10"/>
      <c r="Y28" s="10"/>
      <c r="Z28" s="10"/>
    </row>
    <row r="29" ht="12.75" customHeight="1">
      <c r="A29" s="120" t="s">
        <v>1050</v>
      </c>
      <c r="B29" s="120" t="s">
        <v>1051</v>
      </c>
      <c r="C29" s="120" t="s">
        <v>1052</v>
      </c>
      <c r="D29" s="120" t="s">
        <v>1053</v>
      </c>
      <c r="E29" s="120" t="s">
        <v>1054</v>
      </c>
      <c r="F29" s="120" t="s">
        <v>227</v>
      </c>
      <c r="G29" s="122">
        <v>45914.0</v>
      </c>
      <c r="H29" s="120" t="s">
        <v>259</v>
      </c>
      <c r="I29" s="120" t="s">
        <v>227</v>
      </c>
      <c r="J29" s="130">
        <v>45954.0</v>
      </c>
      <c r="K29" s="120" t="s">
        <v>259</v>
      </c>
      <c r="L29" s="120" t="s">
        <v>227</v>
      </c>
      <c r="M29" s="130">
        <v>45974.0</v>
      </c>
      <c r="N29" s="120" t="s">
        <v>749</v>
      </c>
      <c r="O29" s="79"/>
      <c r="P29" s="57"/>
      <c r="Q29" s="89"/>
      <c r="R29" s="10"/>
      <c r="S29" s="10"/>
      <c r="T29" s="10"/>
      <c r="U29" s="10"/>
      <c r="V29" s="10"/>
      <c r="W29" s="10"/>
      <c r="X29" s="10"/>
      <c r="Y29" s="10"/>
      <c r="Z29" s="10"/>
    </row>
    <row r="30" ht="27.0" customHeight="1">
      <c r="A30" s="120" t="s">
        <v>1055</v>
      </c>
      <c r="B30" s="120" t="s">
        <v>1056</v>
      </c>
      <c r="C30" s="120" t="s">
        <v>1057</v>
      </c>
      <c r="D30" s="120" t="s">
        <v>1058</v>
      </c>
      <c r="E30" s="120" t="s">
        <v>1059</v>
      </c>
      <c r="F30" s="120" t="s">
        <v>227</v>
      </c>
      <c r="G30" s="122">
        <v>45914.0</v>
      </c>
      <c r="H30" s="120" t="s">
        <v>259</v>
      </c>
      <c r="I30" s="120" t="s">
        <v>227</v>
      </c>
      <c r="J30" s="130">
        <v>45954.0</v>
      </c>
      <c r="K30" s="120" t="s">
        <v>259</v>
      </c>
      <c r="L30" s="120" t="s">
        <v>227</v>
      </c>
      <c r="M30" s="130">
        <v>45974.0</v>
      </c>
      <c r="N30" s="120" t="s">
        <v>749</v>
      </c>
      <c r="O30" s="79"/>
      <c r="P30" s="57"/>
      <c r="Q30" s="89"/>
      <c r="R30" s="10"/>
      <c r="S30" s="10"/>
      <c r="T30" s="10"/>
      <c r="U30" s="10"/>
      <c r="V30" s="10"/>
      <c r="W30" s="10"/>
      <c r="X30" s="10"/>
      <c r="Y30" s="10"/>
      <c r="Z30" s="10"/>
    </row>
    <row r="31" ht="12.75" customHeight="1">
      <c r="A31" s="120" t="s">
        <v>1060</v>
      </c>
      <c r="B31" s="120" t="s">
        <v>1061</v>
      </c>
      <c r="C31" s="120" t="s">
        <v>1062</v>
      </c>
      <c r="D31" s="120" t="s">
        <v>1063</v>
      </c>
      <c r="E31" s="120" t="s">
        <v>1064</v>
      </c>
      <c r="F31" s="120" t="s">
        <v>227</v>
      </c>
      <c r="G31" s="122">
        <v>45914.0</v>
      </c>
      <c r="H31" s="120" t="s">
        <v>259</v>
      </c>
      <c r="I31" s="120" t="s">
        <v>227</v>
      </c>
      <c r="J31" s="130">
        <v>45954.0</v>
      </c>
      <c r="K31" s="120" t="s">
        <v>259</v>
      </c>
      <c r="L31" s="120" t="s">
        <v>227</v>
      </c>
      <c r="M31" s="130">
        <v>45974.0</v>
      </c>
      <c r="N31" s="120" t="s">
        <v>749</v>
      </c>
      <c r="O31" s="79"/>
      <c r="P31" s="57"/>
      <c r="Q31" s="89"/>
      <c r="R31" s="10"/>
      <c r="S31" s="10"/>
      <c r="T31" s="10"/>
      <c r="U31" s="10"/>
      <c r="V31" s="10"/>
      <c r="W31" s="10"/>
      <c r="X31" s="10"/>
      <c r="Y31" s="10"/>
      <c r="Z31" s="10"/>
    </row>
    <row r="32" ht="12.75" customHeight="1">
      <c r="A32" s="120" t="s">
        <v>1065</v>
      </c>
      <c r="B32" s="120" t="s">
        <v>1066</v>
      </c>
      <c r="C32" s="120" t="s">
        <v>1067</v>
      </c>
      <c r="D32" s="120" t="s">
        <v>1068</v>
      </c>
      <c r="E32" s="120" t="s">
        <v>1069</v>
      </c>
      <c r="F32" s="120" t="s">
        <v>227</v>
      </c>
      <c r="G32" s="122">
        <v>45914.0</v>
      </c>
      <c r="H32" s="120" t="s">
        <v>259</v>
      </c>
      <c r="I32" s="120" t="s">
        <v>227</v>
      </c>
      <c r="J32" s="130">
        <v>45954.0</v>
      </c>
      <c r="K32" s="120" t="s">
        <v>259</v>
      </c>
      <c r="L32" s="120" t="s">
        <v>227</v>
      </c>
      <c r="M32" s="130">
        <v>45974.0</v>
      </c>
      <c r="N32" s="120" t="s">
        <v>749</v>
      </c>
      <c r="O32" s="79"/>
      <c r="P32" s="57"/>
      <c r="Q32" s="89"/>
      <c r="R32" s="10"/>
      <c r="S32" s="10"/>
      <c r="T32" s="10"/>
      <c r="U32" s="10"/>
      <c r="V32" s="10"/>
      <c r="W32" s="10"/>
      <c r="X32" s="10"/>
      <c r="Y32" s="10"/>
      <c r="Z32" s="10"/>
    </row>
    <row r="33" ht="15.75" customHeight="1">
      <c r="A33" s="116" t="s">
        <v>1070</v>
      </c>
      <c r="B33" s="117"/>
      <c r="C33" s="117"/>
      <c r="D33" s="117"/>
      <c r="E33" s="117"/>
      <c r="F33" s="117"/>
      <c r="G33" s="117"/>
      <c r="H33" s="117"/>
      <c r="I33" s="117"/>
      <c r="J33" s="117"/>
      <c r="K33" s="117"/>
      <c r="L33" s="117"/>
      <c r="M33" s="117"/>
      <c r="N33" s="117"/>
      <c r="O33" s="117"/>
      <c r="P33" s="118"/>
      <c r="Q33" s="119"/>
      <c r="R33" s="97"/>
      <c r="S33" s="97"/>
      <c r="T33" s="97"/>
      <c r="U33" s="97"/>
      <c r="V33" s="97"/>
      <c r="W33" s="97"/>
      <c r="X33" s="97"/>
      <c r="Y33" s="97"/>
      <c r="Z33" s="97"/>
    </row>
    <row r="34" ht="12.75" customHeight="1">
      <c r="A34" s="120" t="s">
        <v>1071</v>
      </c>
      <c r="B34" s="120" t="s">
        <v>1072</v>
      </c>
      <c r="C34" s="120" t="s">
        <v>1073</v>
      </c>
      <c r="D34" s="120" t="s">
        <v>1074</v>
      </c>
      <c r="E34" s="120" t="s">
        <v>1075</v>
      </c>
      <c r="F34" s="120" t="s">
        <v>227</v>
      </c>
      <c r="G34" s="122">
        <v>45914.0</v>
      </c>
      <c r="H34" s="120" t="s">
        <v>259</v>
      </c>
      <c r="I34" s="120" t="s">
        <v>227</v>
      </c>
      <c r="J34" s="130">
        <v>45954.0</v>
      </c>
      <c r="K34" s="120" t="s">
        <v>259</v>
      </c>
      <c r="L34" s="120" t="s">
        <v>227</v>
      </c>
      <c r="M34" s="130">
        <v>45974.0</v>
      </c>
      <c r="N34" s="120" t="s">
        <v>749</v>
      </c>
      <c r="O34" s="79"/>
      <c r="P34" s="57"/>
      <c r="Q34" s="89"/>
      <c r="R34" s="10"/>
      <c r="S34" s="10"/>
      <c r="T34" s="10"/>
      <c r="U34" s="10"/>
      <c r="V34" s="10"/>
      <c r="W34" s="10"/>
      <c r="X34" s="10"/>
      <c r="Y34" s="10"/>
      <c r="Z34" s="10"/>
    </row>
    <row r="35" ht="12.75" customHeight="1">
      <c r="A35" s="120" t="s">
        <v>1076</v>
      </c>
      <c r="B35" s="120" t="s">
        <v>1077</v>
      </c>
      <c r="C35" s="120" t="s">
        <v>1078</v>
      </c>
      <c r="D35" s="120" t="s">
        <v>1079</v>
      </c>
      <c r="E35" s="120" t="s">
        <v>1080</v>
      </c>
      <c r="F35" s="120" t="s">
        <v>227</v>
      </c>
      <c r="G35" s="122">
        <v>45914.0</v>
      </c>
      <c r="H35" s="120" t="s">
        <v>259</v>
      </c>
      <c r="I35" s="120" t="s">
        <v>227</v>
      </c>
      <c r="J35" s="130">
        <v>45954.0</v>
      </c>
      <c r="K35" s="120" t="s">
        <v>259</v>
      </c>
      <c r="L35" s="120" t="s">
        <v>227</v>
      </c>
      <c r="M35" s="130">
        <v>45974.0</v>
      </c>
      <c r="N35" s="120" t="s">
        <v>749</v>
      </c>
      <c r="O35" s="79"/>
      <c r="P35" s="57"/>
      <c r="Q35" s="89"/>
      <c r="R35" s="10"/>
      <c r="S35" s="10"/>
      <c r="T35" s="10"/>
      <c r="U35" s="10"/>
      <c r="V35" s="10"/>
      <c r="W35" s="10"/>
      <c r="X35" s="10"/>
      <c r="Y35" s="10"/>
      <c r="Z35" s="10"/>
    </row>
    <row r="36" ht="27.0" customHeight="1">
      <c r="A36" s="120" t="s">
        <v>1081</v>
      </c>
      <c r="B36" s="120" t="s">
        <v>1082</v>
      </c>
      <c r="C36" s="120" t="s">
        <v>1083</v>
      </c>
      <c r="D36" s="120" t="s">
        <v>1084</v>
      </c>
      <c r="E36" s="120" t="s">
        <v>1085</v>
      </c>
      <c r="F36" s="120" t="s">
        <v>227</v>
      </c>
      <c r="G36" s="122">
        <v>45914.0</v>
      </c>
      <c r="H36" s="120" t="s">
        <v>259</v>
      </c>
      <c r="I36" s="120" t="s">
        <v>227</v>
      </c>
      <c r="J36" s="130">
        <v>45954.0</v>
      </c>
      <c r="K36" s="120" t="s">
        <v>259</v>
      </c>
      <c r="L36" s="120" t="s">
        <v>227</v>
      </c>
      <c r="M36" s="130">
        <v>45974.0</v>
      </c>
      <c r="N36" s="120" t="s">
        <v>749</v>
      </c>
      <c r="O36" s="79"/>
      <c r="P36" s="57"/>
      <c r="Q36" s="89"/>
      <c r="R36" s="10"/>
      <c r="S36" s="10"/>
      <c r="T36" s="10"/>
      <c r="U36" s="10"/>
      <c r="V36" s="10"/>
      <c r="W36" s="10"/>
      <c r="X36" s="10"/>
      <c r="Y36" s="10"/>
      <c r="Z36" s="10"/>
    </row>
    <row r="37" ht="15.75" customHeight="1">
      <c r="A37" s="116" t="s">
        <v>1086</v>
      </c>
      <c r="B37" s="117"/>
      <c r="C37" s="117"/>
      <c r="D37" s="117"/>
      <c r="E37" s="117"/>
      <c r="F37" s="117"/>
      <c r="G37" s="117"/>
      <c r="H37" s="117"/>
      <c r="I37" s="117"/>
      <c r="J37" s="117"/>
      <c r="K37" s="117"/>
      <c r="L37" s="117"/>
      <c r="M37" s="117"/>
      <c r="N37" s="117"/>
      <c r="O37" s="117"/>
      <c r="P37" s="118"/>
      <c r="Q37" s="119"/>
      <c r="R37" s="97"/>
      <c r="S37" s="97"/>
      <c r="T37" s="97"/>
      <c r="U37" s="97"/>
      <c r="V37" s="97"/>
      <c r="W37" s="97"/>
      <c r="X37" s="97"/>
      <c r="Y37" s="97"/>
      <c r="Z37" s="97"/>
    </row>
    <row r="38" ht="12.75" customHeight="1">
      <c r="A38" s="120" t="s">
        <v>1087</v>
      </c>
      <c r="B38" s="120" t="s">
        <v>1088</v>
      </c>
      <c r="C38" s="120" t="s">
        <v>1089</v>
      </c>
      <c r="D38" s="120" t="s">
        <v>1090</v>
      </c>
      <c r="E38" s="120" t="s">
        <v>1091</v>
      </c>
      <c r="F38" s="120" t="s">
        <v>227</v>
      </c>
      <c r="G38" s="122">
        <v>45914.0</v>
      </c>
      <c r="H38" s="120" t="s">
        <v>259</v>
      </c>
      <c r="I38" s="120" t="s">
        <v>227</v>
      </c>
      <c r="J38" s="130">
        <v>45954.0</v>
      </c>
      <c r="K38" s="120" t="s">
        <v>259</v>
      </c>
      <c r="L38" s="120" t="s">
        <v>227</v>
      </c>
      <c r="M38" s="130">
        <v>45974.0</v>
      </c>
      <c r="N38" s="120" t="s">
        <v>749</v>
      </c>
      <c r="O38" s="79"/>
      <c r="P38" s="57"/>
      <c r="Q38" s="89"/>
      <c r="R38" s="10"/>
      <c r="S38" s="10"/>
      <c r="T38" s="10"/>
      <c r="U38" s="10"/>
      <c r="V38" s="10"/>
      <c r="W38" s="10"/>
      <c r="X38" s="10"/>
      <c r="Y38" s="10"/>
      <c r="Z38" s="10"/>
    </row>
    <row r="39" ht="12.75" customHeight="1">
      <c r="A39" s="120" t="s">
        <v>1092</v>
      </c>
      <c r="B39" s="120" t="s">
        <v>1077</v>
      </c>
      <c r="C39" s="120" t="s">
        <v>1093</v>
      </c>
      <c r="D39" s="120" t="s">
        <v>1079</v>
      </c>
      <c r="E39" s="120" t="s">
        <v>1080</v>
      </c>
      <c r="F39" s="120" t="s">
        <v>227</v>
      </c>
      <c r="G39" s="122">
        <v>45914.0</v>
      </c>
      <c r="H39" s="120" t="s">
        <v>259</v>
      </c>
      <c r="I39" s="120" t="s">
        <v>227</v>
      </c>
      <c r="J39" s="130">
        <v>45954.0</v>
      </c>
      <c r="K39" s="120" t="s">
        <v>259</v>
      </c>
      <c r="L39" s="120" t="s">
        <v>227</v>
      </c>
      <c r="M39" s="130">
        <v>45974.0</v>
      </c>
      <c r="N39" s="120" t="s">
        <v>749</v>
      </c>
      <c r="O39" s="79"/>
      <c r="P39" s="57"/>
      <c r="Q39" s="89"/>
      <c r="R39" s="10"/>
      <c r="S39" s="10"/>
      <c r="T39" s="10"/>
      <c r="U39" s="10"/>
      <c r="V39" s="10"/>
      <c r="W39" s="10"/>
      <c r="X39" s="10"/>
      <c r="Y39" s="10"/>
      <c r="Z39" s="10"/>
    </row>
    <row r="40" ht="27.0" customHeight="1">
      <c r="A40" s="120" t="s">
        <v>1094</v>
      </c>
      <c r="B40" s="120" t="s">
        <v>1095</v>
      </c>
      <c r="C40" s="120" t="s">
        <v>1096</v>
      </c>
      <c r="D40" s="120" t="s">
        <v>1097</v>
      </c>
      <c r="E40" s="120" t="s">
        <v>1091</v>
      </c>
      <c r="F40" s="120" t="s">
        <v>227</v>
      </c>
      <c r="G40" s="122">
        <v>45914.0</v>
      </c>
      <c r="H40" s="120" t="s">
        <v>259</v>
      </c>
      <c r="I40" s="120" t="s">
        <v>227</v>
      </c>
      <c r="J40" s="130">
        <v>45954.0</v>
      </c>
      <c r="K40" s="120" t="s">
        <v>259</v>
      </c>
      <c r="L40" s="120" t="s">
        <v>227</v>
      </c>
      <c r="M40" s="130">
        <v>45974.0</v>
      </c>
      <c r="N40" s="120" t="s">
        <v>749</v>
      </c>
      <c r="O40" s="79"/>
      <c r="P40" s="57"/>
      <c r="Q40" s="89"/>
      <c r="R40" s="10"/>
      <c r="S40" s="10"/>
      <c r="T40" s="10"/>
      <c r="U40" s="10"/>
      <c r="V40" s="10"/>
      <c r="W40" s="10"/>
      <c r="X40" s="10"/>
      <c r="Y40" s="10"/>
      <c r="Z40" s="10"/>
    </row>
    <row r="41" ht="15.75" customHeight="1">
      <c r="A41" s="116" t="s">
        <v>1098</v>
      </c>
      <c r="B41" s="117"/>
      <c r="C41" s="117"/>
      <c r="D41" s="117"/>
      <c r="E41" s="117"/>
      <c r="F41" s="117"/>
      <c r="G41" s="117"/>
      <c r="H41" s="117"/>
      <c r="I41" s="117"/>
      <c r="J41" s="117"/>
      <c r="K41" s="117"/>
      <c r="L41" s="117"/>
      <c r="M41" s="117"/>
      <c r="N41" s="117"/>
      <c r="O41" s="117"/>
      <c r="P41" s="118"/>
      <c r="Q41" s="119"/>
      <c r="R41" s="97"/>
      <c r="S41" s="97"/>
      <c r="T41" s="97"/>
      <c r="U41" s="97"/>
      <c r="V41" s="97"/>
      <c r="W41" s="97"/>
      <c r="X41" s="97"/>
      <c r="Y41" s="97"/>
      <c r="Z41" s="97"/>
    </row>
    <row r="42" ht="12.75" customHeight="1">
      <c r="A42" s="120" t="s">
        <v>1099</v>
      </c>
      <c r="B42" s="120" t="s">
        <v>1100</v>
      </c>
      <c r="C42" s="120" t="s">
        <v>1101</v>
      </c>
      <c r="D42" s="120" t="s">
        <v>1102</v>
      </c>
      <c r="E42" s="120" t="s">
        <v>1091</v>
      </c>
      <c r="F42" s="120" t="s">
        <v>227</v>
      </c>
      <c r="G42" s="122">
        <v>45914.0</v>
      </c>
      <c r="H42" s="120" t="s">
        <v>259</v>
      </c>
      <c r="I42" s="120" t="s">
        <v>227</v>
      </c>
      <c r="J42" s="130">
        <v>45954.0</v>
      </c>
      <c r="K42" s="120" t="s">
        <v>259</v>
      </c>
      <c r="L42" s="120" t="s">
        <v>227</v>
      </c>
      <c r="M42" s="130">
        <v>45974.0</v>
      </c>
      <c r="N42" s="120" t="s">
        <v>749</v>
      </c>
      <c r="O42" s="79"/>
      <c r="P42" s="57"/>
      <c r="Q42" s="89"/>
      <c r="R42" s="10"/>
      <c r="S42" s="10"/>
      <c r="T42" s="10"/>
      <c r="U42" s="10"/>
      <c r="V42" s="10"/>
      <c r="W42" s="10"/>
      <c r="X42" s="10"/>
      <c r="Y42" s="10"/>
      <c r="Z42" s="10"/>
    </row>
    <row r="43" ht="12.75" customHeight="1">
      <c r="A43" s="120" t="s">
        <v>1103</v>
      </c>
      <c r="B43" s="120" t="s">
        <v>1104</v>
      </c>
      <c r="C43" s="120" t="s">
        <v>1105</v>
      </c>
      <c r="D43" s="120" t="s">
        <v>1106</v>
      </c>
      <c r="E43" s="120" t="s">
        <v>1107</v>
      </c>
      <c r="F43" s="120" t="s">
        <v>229</v>
      </c>
      <c r="G43" s="122">
        <v>45914.0</v>
      </c>
      <c r="H43" s="120" t="s">
        <v>259</v>
      </c>
      <c r="I43" s="120" t="s">
        <v>229</v>
      </c>
      <c r="J43" s="130">
        <v>45954.0</v>
      </c>
      <c r="K43" s="120" t="s">
        <v>259</v>
      </c>
      <c r="L43" s="120" t="s">
        <v>229</v>
      </c>
      <c r="M43" s="130">
        <v>45974.0</v>
      </c>
      <c r="N43" s="120" t="s">
        <v>749</v>
      </c>
      <c r="O43" s="79"/>
      <c r="P43" s="57"/>
      <c r="Q43" s="89"/>
      <c r="R43" s="10"/>
      <c r="S43" s="10"/>
      <c r="T43" s="10"/>
      <c r="U43" s="10"/>
      <c r="V43" s="10"/>
      <c r="W43" s="10"/>
      <c r="X43" s="10"/>
      <c r="Y43" s="10"/>
      <c r="Z43" s="10"/>
    </row>
    <row r="44" ht="12.75" customHeight="1">
      <c r="A44" s="84"/>
      <c r="B44" s="84"/>
      <c r="C44" s="84"/>
      <c r="D44" s="84"/>
      <c r="E44" s="84"/>
      <c r="F44" s="84"/>
      <c r="G44" s="84"/>
      <c r="H44" s="84"/>
      <c r="I44" s="84"/>
      <c r="J44" s="84"/>
      <c r="K44" s="84"/>
      <c r="L44" s="84"/>
      <c r="M44" s="84"/>
      <c r="N44" s="84"/>
      <c r="O44" s="84"/>
      <c r="P44" s="10"/>
      <c r="Q44" s="8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8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8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8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8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8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8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8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8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8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8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8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8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8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8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8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8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8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8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8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8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8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8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8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8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8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8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8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8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8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8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8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8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8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8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8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8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8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8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8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8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8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8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8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8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8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8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8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8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8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8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8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8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8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8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8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8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8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8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8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8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8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8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8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8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8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8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8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8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8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8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8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8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8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8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8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8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8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8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8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8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8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8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8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8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8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8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8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8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8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8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8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8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8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8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8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8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8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8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8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8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8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8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8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8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8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8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8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8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8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8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8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8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8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8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8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8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8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8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8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8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8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8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8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8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8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8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8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8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8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8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8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8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8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8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8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8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8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8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8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8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8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8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8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8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8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8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8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8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8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8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8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8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8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8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8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8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8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8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8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8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8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8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8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8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8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8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8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8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8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8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8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8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8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8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8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8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8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8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8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8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8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8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8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8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8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8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8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8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8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8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8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8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8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8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8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8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8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8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8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8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8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8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8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8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8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8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8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8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8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8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8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8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8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8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8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8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8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8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8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8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8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8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8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8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8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8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8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8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8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8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8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8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8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8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8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8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8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8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8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8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8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8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8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8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8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8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8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8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8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8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8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8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8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8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8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8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8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8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8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8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8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8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8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8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8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8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8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8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8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8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8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8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8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8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8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8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8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8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8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8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8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8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8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8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8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8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8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8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8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8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8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8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8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8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8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8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8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8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8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8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8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8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8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8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8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8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8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8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8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8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8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8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8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8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8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8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8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8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8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8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8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8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8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8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8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8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8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8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8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8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8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8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8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8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8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8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8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8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8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8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8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8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8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8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8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8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8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8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8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8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8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8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8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8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8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8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8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8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8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8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8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8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8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8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8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8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8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8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8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8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8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8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8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8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8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8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8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8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8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8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8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8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8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8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8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8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8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8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8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8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8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8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8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8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8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8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8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8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8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8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8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8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8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8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8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8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8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8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8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8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8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8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8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8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8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8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8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8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8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8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8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8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8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8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8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8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8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8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8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8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8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8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8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8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8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8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8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8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8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8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8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8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8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8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8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8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8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8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8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8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8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8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8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8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8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8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8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8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8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8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8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8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8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8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8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8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8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8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8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8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8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8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8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8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8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8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8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8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8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8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8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8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8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8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8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8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8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8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8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8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8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8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8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8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8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8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8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8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8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8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8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8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8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8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8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8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8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8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8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8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8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8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8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8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8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8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8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8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8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8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8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8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8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8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8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8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8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8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8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8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8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8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8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8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8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8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8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8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8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8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8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8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8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8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8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8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8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8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8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8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8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8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8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8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8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8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8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8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8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8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8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8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8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8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8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8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8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8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8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8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8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8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8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8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8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8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8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8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8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8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8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8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8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8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8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8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8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8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8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8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8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8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8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8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8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8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8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8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8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8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8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8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8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8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8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8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8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8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8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8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8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8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8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8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8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8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8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8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8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8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8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8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8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8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8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8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8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8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8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8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8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8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8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8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8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8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8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8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8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8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8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8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8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8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8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8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8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8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8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8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8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8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8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8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8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8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8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8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8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8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8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8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8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8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8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8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8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8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8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8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8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8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8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8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8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8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8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8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8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8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8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8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8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8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8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8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8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8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8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8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8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8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8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8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8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8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8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8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8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8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8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8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8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8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8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8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8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8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8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8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8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8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8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8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8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8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8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8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8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8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8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8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8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8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8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8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8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8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8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8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8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8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8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8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8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8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8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8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8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8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8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8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8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8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8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8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8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8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8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8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8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8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8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8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8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8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8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8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8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8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8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8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8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8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8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8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8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8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8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8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8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8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8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8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8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8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8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8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8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8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8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8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8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8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8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8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8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8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8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8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8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8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8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8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8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8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8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8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8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8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8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8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8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8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8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8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8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8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8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8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8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8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8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8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8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8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8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8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8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8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8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8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8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8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8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8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8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8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8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8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8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8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8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8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8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8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8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8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8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8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8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8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8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8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8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8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8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8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8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8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8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8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8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89"/>
      <c r="R898" s="10"/>
      <c r="S898" s="10"/>
      <c r="T898" s="10"/>
      <c r="U898" s="10"/>
      <c r="V898" s="10"/>
      <c r="W898" s="10"/>
      <c r="X898" s="10"/>
      <c r="Y898" s="10"/>
      <c r="Z898" s="10"/>
    </row>
  </sheetData>
  <mergeCells count="3">
    <mergeCell ref="B2:E2"/>
    <mergeCell ref="B3:E3"/>
    <mergeCell ref="B4:E4"/>
  </mergeCells>
  <dataValidations>
    <dataValidation type="list" allowBlank="1" showErrorMessage="1" sqref="G2:G3 J2:J3 M2:M3 G9 J9 M9 F12:F43 I12:I43 L12:L43">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7.75"/>
    <col customWidth="1" min="3" max="3" width="39.25"/>
    <col customWidth="1" min="4" max="4" width="38.75"/>
    <col customWidth="1" min="5" max="5" width="32.13"/>
    <col customWidth="1" min="6" max="6" width="9.38"/>
    <col customWidth="1" min="7" max="7" width="10.63" outlineLevel="1"/>
    <col customWidth="1" min="8" max="8" width="10.88" outlineLevel="1"/>
    <col customWidth="1" min="9" max="9" width="9.38"/>
    <col customWidth="1" min="10" max="10" width="10.63" outlineLevel="1"/>
    <col customWidth="1" min="11" max="11" width="10.0" outlineLevel="1"/>
    <col customWidth="1" min="12" max="12" width="9.38"/>
    <col customWidth="1" min="13" max="13" width="10.63" outlineLevel="1"/>
    <col customWidth="1" min="14" max="14" width="13.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89"/>
      <c r="R1" s="10"/>
      <c r="S1" s="10"/>
      <c r="T1" s="10"/>
      <c r="U1" s="10"/>
      <c r="V1" s="10"/>
      <c r="W1" s="10"/>
      <c r="X1" s="10"/>
      <c r="Y1" s="10"/>
      <c r="Z1" s="10"/>
    </row>
    <row r="2" ht="15.0" customHeight="1">
      <c r="A2" s="90" t="s">
        <v>236</v>
      </c>
      <c r="B2" s="91" t="s">
        <v>129</v>
      </c>
      <c r="C2" s="92"/>
      <c r="D2" s="92"/>
      <c r="E2" s="93"/>
      <c r="F2" s="94"/>
      <c r="G2" s="95"/>
      <c r="H2" s="40"/>
      <c r="I2" s="94"/>
      <c r="J2" s="95"/>
      <c r="K2" s="40"/>
      <c r="L2" s="94"/>
      <c r="M2" s="95"/>
      <c r="N2" s="40"/>
      <c r="O2" s="40"/>
      <c r="P2" s="40"/>
      <c r="Q2" s="96"/>
      <c r="R2" s="97" t="s">
        <v>227</v>
      </c>
      <c r="S2" s="97"/>
      <c r="T2" s="97"/>
      <c r="U2" s="97"/>
      <c r="V2" s="97"/>
      <c r="W2" s="97"/>
      <c r="X2" s="97"/>
      <c r="Y2" s="97"/>
      <c r="Z2" s="97"/>
    </row>
    <row r="3" ht="12.75" customHeight="1">
      <c r="A3" s="98" t="s">
        <v>237</v>
      </c>
      <c r="B3" s="99" t="s">
        <v>1108</v>
      </c>
      <c r="C3" s="5"/>
      <c r="D3" s="5"/>
      <c r="E3" s="100"/>
      <c r="F3" s="94"/>
      <c r="G3" s="95"/>
      <c r="H3" s="40"/>
      <c r="I3" s="94"/>
      <c r="J3" s="95"/>
      <c r="K3" s="40"/>
      <c r="L3" s="94"/>
      <c r="M3" s="95"/>
      <c r="N3" s="40"/>
      <c r="O3" s="40"/>
      <c r="P3" s="40"/>
      <c r="Q3" s="96"/>
      <c r="R3" s="97" t="s">
        <v>228</v>
      </c>
      <c r="S3" s="97"/>
      <c r="T3" s="97"/>
      <c r="U3" s="97"/>
      <c r="V3" s="97"/>
      <c r="W3" s="97"/>
      <c r="X3" s="97"/>
      <c r="Y3" s="97"/>
      <c r="Z3" s="97"/>
    </row>
    <row r="4" ht="18.0" customHeight="1">
      <c r="A4" s="98" t="s">
        <v>239</v>
      </c>
      <c r="B4" s="127">
        <f>COUNTA(A12:A979)-6</f>
        <v>125</v>
      </c>
      <c r="C4" s="5"/>
      <c r="D4" s="5"/>
      <c r="E4" s="100"/>
      <c r="F4" s="94"/>
      <c r="G4" s="95"/>
      <c r="H4" s="40"/>
      <c r="I4" s="94"/>
      <c r="J4" s="95"/>
      <c r="K4" s="40"/>
      <c r="L4" s="94"/>
      <c r="M4" s="95"/>
      <c r="N4" s="40"/>
      <c r="O4" s="40"/>
      <c r="P4" s="40"/>
      <c r="Q4" s="96"/>
      <c r="R4" s="97" t="s">
        <v>229</v>
      </c>
      <c r="S4" s="97"/>
      <c r="T4" s="97"/>
      <c r="U4" s="97"/>
      <c r="V4" s="97"/>
      <c r="W4" s="97"/>
      <c r="X4" s="97"/>
      <c r="Y4" s="97"/>
      <c r="Z4" s="97"/>
    </row>
    <row r="5" ht="19.5" customHeight="1">
      <c r="A5" s="101" t="s">
        <v>240</v>
      </c>
      <c r="B5" s="102" t="s">
        <v>227</v>
      </c>
      <c r="C5" s="102" t="s">
        <v>228</v>
      </c>
      <c r="D5" s="102" t="s">
        <v>229</v>
      </c>
      <c r="E5" s="103" t="s">
        <v>230</v>
      </c>
      <c r="F5" s="104"/>
      <c r="G5" s="104"/>
      <c r="H5" s="105"/>
      <c r="I5" s="104"/>
      <c r="J5" s="104"/>
      <c r="K5" s="105"/>
      <c r="L5" s="104"/>
      <c r="M5" s="104"/>
      <c r="N5" s="105"/>
      <c r="O5" s="105"/>
      <c r="P5" s="105"/>
      <c r="Q5" s="106"/>
      <c r="R5" s="97" t="s">
        <v>230</v>
      </c>
      <c r="S5" s="97"/>
      <c r="T5" s="97"/>
      <c r="U5" s="97"/>
      <c r="V5" s="97"/>
      <c r="W5" s="97"/>
      <c r="X5" s="97"/>
      <c r="Y5" s="97"/>
      <c r="Z5" s="97"/>
    </row>
    <row r="6" ht="19.5" customHeight="1">
      <c r="A6" s="142" t="s">
        <v>241</v>
      </c>
      <c r="B6" s="107">
        <f t="shared" ref="B6:C6" si="1">COUNTIF($F10:$F1026,B5)</f>
        <v>97</v>
      </c>
      <c r="C6" s="107">
        <f t="shared" si="1"/>
        <v>28</v>
      </c>
      <c r="D6" s="107">
        <f t="shared" ref="D6:E6" si="2">COUNTIF($F9:$F976,D4)</f>
        <v>0</v>
      </c>
      <c r="E6" s="107">
        <f t="shared" si="2"/>
        <v>0</v>
      </c>
      <c r="F6" s="104"/>
      <c r="G6" s="104"/>
      <c r="H6" s="105"/>
      <c r="I6" s="104"/>
      <c r="J6" s="104"/>
      <c r="K6" s="105"/>
      <c r="L6" s="104"/>
      <c r="M6" s="104"/>
      <c r="N6" s="105"/>
      <c r="O6" s="105"/>
      <c r="P6" s="105"/>
      <c r="Q6" s="106"/>
      <c r="R6" s="97"/>
      <c r="S6" s="97"/>
      <c r="T6" s="97"/>
      <c r="U6" s="97"/>
      <c r="V6" s="97"/>
      <c r="W6" s="97"/>
      <c r="X6" s="97"/>
      <c r="Y6" s="97"/>
      <c r="Z6" s="97"/>
    </row>
    <row r="7" ht="15.0" customHeight="1">
      <c r="A7" s="101" t="s">
        <v>242</v>
      </c>
      <c r="B7" s="107">
        <f t="shared" ref="B7:C7" si="3">COUNTIF($I10:$I977,B5)</f>
        <v>121</v>
      </c>
      <c r="C7" s="107">
        <f t="shared" si="3"/>
        <v>4</v>
      </c>
      <c r="D7" s="107">
        <f t="shared" ref="D7:E7" si="4">COUNTIF($F10:$F977,D5)</f>
        <v>0</v>
      </c>
      <c r="E7" s="108">
        <f t="shared" si="4"/>
        <v>0</v>
      </c>
      <c r="F7" s="109"/>
      <c r="G7" s="109"/>
      <c r="H7" s="105"/>
      <c r="I7" s="109"/>
      <c r="J7" s="109"/>
      <c r="K7" s="105"/>
      <c r="L7" s="109"/>
      <c r="M7" s="109"/>
      <c r="N7" s="105"/>
      <c r="O7" s="105"/>
      <c r="P7" s="105"/>
      <c r="Q7" s="106"/>
      <c r="R7" s="97"/>
      <c r="S7" s="97"/>
      <c r="T7" s="97"/>
      <c r="U7" s="97"/>
      <c r="V7" s="97"/>
      <c r="W7" s="97"/>
      <c r="X7" s="97"/>
      <c r="Y7" s="97"/>
      <c r="Z7" s="97"/>
    </row>
    <row r="8" ht="15.0" customHeight="1">
      <c r="A8" s="110" t="s">
        <v>243</v>
      </c>
      <c r="B8" s="111">
        <f t="shared" ref="B8:C8" si="5">COUNTIF($L10:$L977,B5)</f>
        <v>122</v>
      </c>
      <c r="C8" s="111">
        <f t="shared" si="5"/>
        <v>3</v>
      </c>
      <c r="D8" s="111">
        <f t="shared" ref="D8:E8" si="6">COUNTIF($F10:$F977,D5)</f>
        <v>0</v>
      </c>
      <c r="E8" s="112">
        <f t="shared" si="6"/>
        <v>0</v>
      </c>
      <c r="F8" s="109"/>
      <c r="G8" s="109"/>
      <c r="H8" s="105"/>
      <c r="I8" s="109"/>
      <c r="J8" s="109"/>
      <c r="K8" s="105"/>
      <c r="L8" s="109"/>
      <c r="M8" s="109"/>
      <c r="N8" s="105"/>
      <c r="O8" s="105"/>
      <c r="P8" s="105"/>
      <c r="Q8" s="106"/>
      <c r="R8" s="97"/>
      <c r="S8" s="97"/>
      <c r="T8" s="97"/>
      <c r="U8" s="97"/>
      <c r="V8" s="97"/>
      <c r="W8" s="97"/>
      <c r="X8" s="97"/>
      <c r="Y8" s="97"/>
      <c r="Z8" s="97"/>
    </row>
    <row r="9" ht="15.0" customHeight="1">
      <c r="A9" s="105"/>
      <c r="B9" s="105"/>
      <c r="C9" s="105"/>
      <c r="D9" s="105"/>
      <c r="E9" s="105"/>
      <c r="F9" s="88"/>
      <c r="G9" s="105"/>
      <c r="H9" s="105"/>
      <c r="I9" s="88"/>
      <c r="J9" s="105"/>
      <c r="K9" s="105"/>
      <c r="L9" s="88"/>
      <c r="M9" s="105"/>
      <c r="N9" s="105"/>
      <c r="O9" s="105"/>
      <c r="P9" s="105"/>
      <c r="Q9" s="106"/>
      <c r="R9" s="97"/>
      <c r="S9" s="97"/>
      <c r="T9" s="97"/>
      <c r="U9" s="97"/>
      <c r="V9" s="97"/>
      <c r="W9" s="97"/>
      <c r="X9" s="97"/>
      <c r="Y9" s="97"/>
      <c r="Z9" s="97"/>
    </row>
    <row r="10" ht="25.5" customHeight="1">
      <c r="A10" s="143" t="s">
        <v>244</v>
      </c>
      <c r="B10" s="143" t="s">
        <v>245</v>
      </c>
      <c r="C10" s="143" t="s">
        <v>246</v>
      </c>
      <c r="D10" s="143" t="s">
        <v>247</v>
      </c>
      <c r="E10" s="143" t="s">
        <v>248</v>
      </c>
      <c r="F10" s="143" t="s">
        <v>241</v>
      </c>
      <c r="G10" s="143" t="s">
        <v>249</v>
      </c>
      <c r="H10" s="143" t="s">
        <v>250</v>
      </c>
      <c r="I10" s="143" t="s">
        <v>242</v>
      </c>
      <c r="J10" s="143" t="s">
        <v>249</v>
      </c>
      <c r="K10" s="143" t="s">
        <v>250</v>
      </c>
      <c r="L10" s="143" t="s">
        <v>243</v>
      </c>
      <c r="M10" s="143" t="s">
        <v>249</v>
      </c>
      <c r="N10" s="143" t="s">
        <v>250</v>
      </c>
      <c r="O10" s="143" t="s">
        <v>251</v>
      </c>
      <c r="P10" s="97"/>
      <c r="Q10" s="115"/>
      <c r="R10" s="97"/>
      <c r="S10" s="97"/>
      <c r="T10" s="97"/>
      <c r="U10" s="97"/>
      <c r="V10" s="97"/>
      <c r="W10" s="97"/>
      <c r="X10" s="97"/>
      <c r="Y10" s="97"/>
      <c r="Z10" s="97"/>
    </row>
    <row r="11" ht="15.75" customHeight="1">
      <c r="A11" s="144" t="s">
        <v>1109</v>
      </c>
      <c r="B11" s="145"/>
      <c r="C11" s="145"/>
      <c r="D11" s="145"/>
      <c r="E11" s="145"/>
      <c r="F11" s="145"/>
      <c r="G11" s="145"/>
      <c r="H11" s="145"/>
      <c r="I11" s="145"/>
      <c r="J11" s="145"/>
      <c r="K11" s="145"/>
      <c r="L11" s="145"/>
      <c r="M11" s="145"/>
      <c r="N11" s="145"/>
      <c r="O11" s="145"/>
      <c r="P11" s="118"/>
      <c r="Q11" s="119"/>
      <c r="R11" s="97"/>
      <c r="S11" s="97"/>
      <c r="T11" s="97"/>
      <c r="U11" s="97"/>
      <c r="V11" s="97"/>
      <c r="W11" s="97"/>
      <c r="X11" s="97"/>
      <c r="Y11" s="97"/>
      <c r="Z11" s="97"/>
    </row>
    <row r="12" ht="120.75" customHeight="1" outlineLevel="1">
      <c r="A12" s="146" t="s">
        <v>1110</v>
      </c>
      <c r="B12" s="147" t="s">
        <v>1111</v>
      </c>
      <c r="C12" s="148" t="s">
        <v>1112</v>
      </c>
      <c r="D12" s="148" t="s">
        <v>1113</v>
      </c>
      <c r="E12" s="148" t="s">
        <v>1114</v>
      </c>
      <c r="F12" s="146" t="s">
        <v>227</v>
      </c>
      <c r="G12" s="149">
        <v>45928.0</v>
      </c>
      <c r="H12" s="146" t="s">
        <v>259</v>
      </c>
      <c r="I12" s="146" t="s">
        <v>227</v>
      </c>
      <c r="J12" s="149">
        <v>45960.0</v>
      </c>
      <c r="K12" s="146" t="s">
        <v>258</v>
      </c>
      <c r="L12" s="146" t="s">
        <v>228</v>
      </c>
      <c r="M12" s="149">
        <v>45986.0</v>
      </c>
      <c r="N12" s="146" t="s">
        <v>259</v>
      </c>
      <c r="O12" s="150"/>
      <c r="P12" s="131"/>
      <c r="Q12" s="124"/>
      <c r="R12" s="132"/>
      <c r="S12" s="132"/>
      <c r="T12" s="132"/>
      <c r="U12" s="132"/>
      <c r="V12" s="132"/>
      <c r="W12" s="132"/>
      <c r="X12" s="132"/>
      <c r="Y12" s="132"/>
      <c r="Z12" s="132"/>
    </row>
    <row r="13" ht="60.0" customHeight="1" outlineLevel="1">
      <c r="A13" s="146" t="s">
        <v>1115</v>
      </c>
      <c r="B13" s="146" t="s">
        <v>1116</v>
      </c>
      <c r="C13" s="151" t="s">
        <v>1117</v>
      </c>
      <c r="D13" s="148" t="s">
        <v>1118</v>
      </c>
      <c r="E13" s="148" t="s">
        <v>685</v>
      </c>
      <c r="F13" s="146" t="s">
        <v>227</v>
      </c>
      <c r="G13" s="149">
        <v>45928.0</v>
      </c>
      <c r="H13" s="146" t="s">
        <v>259</v>
      </c>
      <c r="I13" s="146" t="s">
        <v>227</v>
      </c>
      <c r="J13" s="149">
        <v>45960.0</v>
      </c>
      <c r="K13" s="146" t="s">
        <v>258</v>
      </c>
      <c r="L13" s="146" t="s">
        <v>227</v>
      </c>
      <c r="M13" s="149">
        <v>45986.0</v>
      </c>
      <c r="N13" s="146" t="s">
        <v>259</v>
      </c>
      <c r="O13" s="150"/>
      <c r="P13" s="57"/>
      <c r="Q13" s="124"/>
      <c r="R13" s="10"/>
      <c r="S13" s="10"/>
      <c r="T13" s="10"/>
      <c r="U13" s="10"/>
      <c r="V13" s="10"/>
      <c r="W13" s="10"/>
      <c r="X13" s="10"/>
      <c r="Y13" s="10"/>
      <c r="Z13" s="10"/>
    </row>
    <row r="14" ht="81.0" customHeight="1" outlineLevel="1">
      <c r="A14" s="146" t="s">
        <v>1119</v>
      </c>
      <c r="B14" s="152" t="s">
        <v>1120</v>
      </c>
      <c r="C14" s="151" t="s">
        <v>1121</v>
      </c>
      <c r="D14" s="151" t="s">
        <v>1122</v>
      </c>
      <c r="E14" s="148" t="s">
        <v>685</v>
      </c>
      <c r="F14" s="146" t="s">
        <v>227</v>
      </c>
      <c r="G14" s="149">
        <v>45928.0</v>
      </c>
      <c r="H14" s="146" t="s">
        <v>259</v>
      </c>
      <c r="I14" s="146" t="s">
        <v>227</v>
      </c>
      <c r="J14" s="149">
        <v>45960.0</v>
      </c>
      <c r="K14" s="146" t="s">
        <v>258</v>
      </c>
      <c r="L14" s="146" t="s">
        <v>227</v>
      </c>
      <c r="M14" s="149">
        <v>45986.0</v>
      </c>
      <c r="N14" s="146" t="s">
        <v>259</v>
      </c>
      <c r="O14" s="150"/>
      <c r="P14" s="57"/>
      <c r="Q14" s="124"/>
      <c r="R14" s="10"/>
      <c r="S14" s="10"/>
      <c r="T14" s="10"/>
      <c r="U14" s="10"/>
      <c r="V14" s="10"/>
      <c r="W14" s="10"/>
      <c r="X14" s="10"/>
      <c r="Y14" s="10"/>
      <c r="Z14" s="10"/>
    </row>
    <row r="15" ht="67.5" customHeight="1" outlineLevel="1">
      <c r="A15" s="146" t="s">
        <v>1123</v>
      </c>
      <c r="B15" s="146" t="s">
        <v>1124</v>
      </c>
      <c r="C15" s="151" t="s">
        <v>1125</v>
      </c>
      <c r="D15" s="148" t="s">
        <v>1126</v>
      </c>
      <c r="E15" s="148" t="s">
        <v>685</v>
      </c>
      <c r="F15" s="146" t="s">
        <v>227</v>
      </c>
      <c r="G15" s="149">
        <v>45928.0</v>
      </c>
      <c r="H15" s="146" t="s">
        <v>259</v>
      </c>
      <c r="I15" s="146" t="s">
        <v>227</v>
      </c>
      <c r="J15" s="149">
        <v>45960.0</v>
      </c>
      <c r="K15" s="146" t="s">
        <v>258</v>
      </c>
      <c r="L15" s="146" t="s">
        <v>227</v>
      </c>
      <c r="M15" s="149">
        <v>45986.0</v>
      </c>
      <c r="N15" s="146" t="s">
        <v>259</v>
      </c>
      <c r="O15" s="150"/>
      <c r="P15" s="57"/>
      <c r="Q15" s="124"/>
      <c r="R15" s="10"/>
      <c r="S15" s="10"/>
      <c r="T15" s="10"/>
      <c r="U15" s="10"/>
      <c r="V15" s="10"/>
      <c r="W15" s="10"/>
      <c r="X15" s="10"/>
      <c r="Y15" s="10"/>
      <c r="Z15" s="10"/>
    </row>
    <row r="16" ht="69.0" customHeight="1" outlineLevel="1">
      <c r="A16" s="146" t="s">
        <v>1127</v>
      </c>
      <c r="B16" s="146" t="s">
        <v>1128</v>
      </c>
      <c r="C16" s="151" t="s">
        <v>1129</v>
      </c>
      <c r="D16" s="148" t="s">
        <v>1130</v>
      </c>
      <c r="E16" s="148" t="s">
        <v>1131</v>
      </c>
      <c r="F16" s="146" t="s">
        <v>227</v>
      </c>
      <c r="G16" s="149">
        <v>45928.0</v>
      </c>
      <c r="H16" s="146" t="s">
        <v>259</v>
      </c>
      <c r="I16" s="146" t="s">
        <v>227</v>
      </c>
      <c r="J16" s="149">
        <v>45960.0</v>
      </c>
      <c r="K16" s="146" t="s">
        <v>258</v>
      </c>
      <c r="L16" s="146" t="s">
        <v>227</v>
      </c>
      <c r="M16" s="149">
        <v>45986.0</v>
      </c>
      <c r="N16" s="146" t="s">
        <v>259</v>
      </c>
      <c r="O16" s="150"/>
      <c r="P16" s="57"/>
      <c r="Q16" s="124"/>
      <c r="R16" s="10"/>
      <c r="S16" s="10"/>
      <c r="T16" s="10"/>
      <c r="U16" s="10"/>
      <c r="V16" s="10"/>
      <c r="W16" s="10"/>
      <c r="X16" s="10"/>
      <c r="Y16" s="10"/>
      <c r="Z16" s="10"/>
    </row>
    <row r="17" ht="12.75" customHeight="1" outlineLevel="1">
      <c r="A17" s="146" t="s">
        <v>1132</v>
      </c>
      <c r="B17" s="146" t="s">
        <v>1133</v>
      </c>
      <c r="C17" s="151" t="s">
        <v>1134</v>
      </c>
      <c r="D17" s="148" t="s">
        <v>1135</v>
      </c>
      <c r="E17" s="148" t="s">
        <v>685</v>
      </c>
      <c r="F17" s="146" t="s">
        <v>227</v>
      </c>
      <c r="G17" s="149">
        <v>45928.0</v>
      </c>
      <c r="H17" s="146" t="s">
        <v>259</v>
      </c>
      <c r="I17" s="146" t="s">
        <v>227</v>
      </c>
      <c r="J17" s="149">
        <v>45960.0</v>
      </c>
      <c r="K17" s="146" t="s">
        <v>258</v>
      </c>
      <c r="L17" s="146" t="s">
        <v>228</v>
      </c>
      <c r="M17" s="149">
        <v>45986.0</v>
      </c>
      <c r="N17" s="146" t="s">
        <v>259</v>
      </c>
      <c r="O17" s="150"/>
      <c r="P17" s="57"/>
      <c r="Q17" s="124"/>
      <c r="R17" s="10"/>
      <c r="S17" s="10"/>
      <c r="T17" s="10"/>
      <c r="U17" s="10"/>
      <c r="V17" s="10"/>
      <c r="W17" s="10"/>
      <c r="X17" s="10"/>
      <c r="Y17" s="10"/>
      <c r="Z17" s="10"/>
    </row>
    <row r="18" ht="60.75" customHeight="1" outlineLevel="1">
      <c r="A18" s="146" t="s">
        <v>1136</v>
      </c>
      <c r="B18" s="146" t="s">
        <v>1137</v>
      </c>
      <c r="C18" s="151" t="s">
        <v>1138</v>
      </c>
      <c r="D18" s="148" t="s">
        <v>1139</v>
      </c>
      <c r="E18" s="148" t="s">
        <v>1140</v>
      </c>
      <c r="F18" s="146" t="s">
        <v>227</v>
      </c>
      <c r="G18" s="149">
        <v>45928.0</v>
      </c>
      <c r="H18" s="146" t="s">
        <v>259</v>
      </c>
      <c r="I18" s="146" t="s">
        <v>227</v>
      </c>
      <c r="J18" s="149">
        <v>45960.0</v>
      </c>
      <c r="K18" s="146" t="s">
        <v>258</v>
      </c>
      <c r="L18" s="146" t="s">
        <v>227</v>
      </c>
      <c r="M18" s="149">
        <v>45986.0</v>
      </c>
      <c r="N18" s="146" t="s">
        <v>259</v>
      </c>
      <c r="O18" s="150"/>
      <c r="P18" s="57"/>
      <c r="Q18" s="124"/>
      <c r="R18" s="10"/>
      <c r="S18" s="10"/>
      <c r="T18" s="10"/>
      <c r="U18" s="10"/>
      <c r="V18" s="10"/>
      <c r="W18" s="10"/>
      <c r="X18" s="10"/>
      <c r="Y18" s="10"/>
      <c r="Z18" s="10"/>
    </row>
    <row r="19" ht="12.75" customHeight="1" outlineLevel="1">
      <c r="A19" s="146" t="s">
        <v>1141</v>
      </c>
      <c r="B19" s="146" t="s">
        <v>1142</v>
      </c>
      <c r="C19" s="151" t="s">
        <v>1143</v>
      </c>
      <c r="D19" s="148" t="s">
        <v>1144</v>
      </c>
      <c r="E19" s="148" t="s">
        <v>685</v>
      </c>
      <c r="F19" s="146" t="s">
        <v>227</v>
      </c>
      <c r="G19" s="149">
        <v>45928.0</v>
      </c>
      <c r="H19" s="146" t="s">
        <v>259</v>
      </c>
      <c r="I19" s="146" t="s">
        <v>227</v>
      </c>
      <c r="J19" s="149">
        <v>45960.0</v>
      </c>
      <c r="K19" s="146" t="s">
        <v>258</v>
      </c>
      <c r="L19" s="146" t="s">
        <v>227</v>
      </c>
      <c r="M19" s="149">
        <v>45986.0</v>
      </c>
      <c r="N19" s="146" t="s">
        <v>259</v>
      </c>
      <c r="O19" s="150"/>
      <c r="P19" s="57"/>
      <c r="Q19" s="124"/>
      <c r="R19" s="10"/>
      <c r="S19" s="10"/>
      <c r="T19" s="10"/>
      <c r="U19" s="10"/>
      <c r="V19" s="10"/>
      <c r="W19" s="10"/>
      <c r="X19" s="10"/>
      <c r="Y19" s="10"/>
      <c r="Z19" s="10"/>
    </row>
    <row r="20" ht="12.75" customHeight="1" outlineLevel="1">
      <c r="A20" s="146" t="s">
        <v>1145</v>
      </c>
      <c r="B20" s="146" t="s">
        <v>1146</v>
      </c>
      <c r="C20" s="151" t="s">
        <v>1147</v>
      </c>
      <c r="D20" s="148" t="s">
        <v>1148</v>
      </c>
      <c r="E20" s="148" t="s">
        <v>685</v>
      </c>
      <c r="F20" s="146" t="s">
        <v>227</v>
      </c>
      <c r="G20" s="149">
        <v>45928.0</v>
      </c>
      <c r="H20" s="146" t="s">
        <v>259</v>
      </c>
      <c r="I20" s="146" t="s">
        <v>227</v>
      </c>
      <c r="J20" s="149">
        <v>45960.0</v>
      </c>
      <c r="K20" s="146" t="s">
        <v>258</v>
      </c>
      <c r="L20" s="146" t="s">
        <v>227</v>
      </c>
      <c r="M20" s="149">
        <v>45986.0</v>
      </c>
      <c r="N20" s="146" t="s">
        <v>259</v>
      </c>
      <c r="O20" s="150"/>
      <c r="P20" s="57"/>
      <c r="Q20" s="124"/>
      <c r="R20" s="10"/>
      <c r="S20" s="10"/>
      <c r="T20" s="10"/>
      <c r="U20" s="10"/>
      <c r="V20" s="10"/>
      <c r="W20" s="10"/>
      <c r="X20" s="10"/>
      <c r="Y20" s="10"/>
      <c r="Z20" s="10"/>
    </row>
    <row r="21" ht="12.75" customHeight="1" outlineLevel="1">
      <c r="A21" s="146" t="s">
        <v>1149</v>
      </c>
      <c r="B21" s="146" t="s">
        <v>1150</v>
      </c>
      <c r="C21" s="151" t="s">
        <v>1151</v>
      </c>
      <c r="D21" s="148" t="s">
        <v>1122</v>
      </c>
      <c r="E21" s="148" t="s">
        <v>685</v>
      </c>
      <c r="F21" s="146" t="s">
        <v>227</v>
      </c>
      <c r="G21" s="149">
        <v>45928.0</v>
      </c>
      <c r="H21" s="146" t="s">
        <v>259</v>
      </c>
      <c r="I21" s="146" t="s">
        <v>227</v>
      </c>
      <c r="J21" s="149">
        <v>45960.0</v>
      </c>
      <c r="K21" s="146" t="s">
        <v>258</v>
      </c>
      <c r="L21" s="146" t="s">
        <v>227</v>
      </c>
      <c r="M21" s="149">
        <v>45986.0</v>
      </c>
      <c r="N21" s="146" t="s">
        <v>259</v>
      </c>
      <c r="O21" s="150"/>
      <c r="P21" s="57"/>
      <c r="Q21" s="124"/>
      <c r="R21" s="10"/>
      <c r="S21" s="10"/>
      <c r="T21" s="10"/>
      <c r="U21" s="10"/>
      <c r="V21" s="10"/>
      <c r="W21" s="10"/>
      <c r="X21" s="10"/>
      <c r="Y21" s="10"/>
      <c r="Z21" s="10"/>
    </row>
    <row r="22" ht="12.75" customHeight="1" outlineLevel="1">
      <c r="A22" s="146" t="s">
        <v>1152</v>
      </c>
      <c r="B22" s="146" t="s">
        <v>1153</v>
      </c>
      <c r="C22" s="151" t="s">
        <v>1154</v>
      </c>
      <c r="D22" s="148" t="s">
        <v>1155</v>
      </c>
      <c r="E22" s="148" t="s">
        <v>685</v>
      </c>
      <c r="F22" s="146" t="s">
        <v>227</v>
      </c>
      <c r="G22" s="149">
        <v>45928.0</v>
      </c>
      <c r="H22" s="146" t="s">
        <v>259</v>
      </c>
      <c r="I22" s="146" t="s">
        <v>227</v>
      </c>
      <c r="J22" s="149">
        <v>45960.0</v>
      </c>
      <c r="K22" s="146" t="s">
        <v>258</v>
      </c>
      <c r="L22" s="146" t="s">
        <v>228</v>
      </c>
      <c r="M22" s="149">
        <v>45986.0</v>
      </c>
      <c r="N22" s="146" t="s">
        <v>259</v>
      </c>
      <c r="O22" s="150"/>
      <c r="P22" s="57"/>
      <c r="Q22" s="124"/>
      <c r="R22" s="10"/>
      <c r="S22" s="10"/>
      <c r="T22" s="10"/>
      <c r="U22" s="10"/>
      <c r="V22" s="10"/>
      <c r="W22" s="10"/>
      <c r="X22" s="10"/>
      <c r="Y22" s="10"/>
      <c r="Z22" s="10"/>
    </row>
    <row r="23" ht="12.75" customHeight="1" outlineLevel="1">
      <c r="A23" s="146" t="s">
        <v>1156</v>
      </c>
      <c r="B23" s="146" t="s">
        <v>1157</v>
      </c>
      <c r="C23" s="151" t="s">
        <v>1158</v>
      </c>
      <c r="D23" s="148" t="s">
        <v>1159</v>
      </c>
      <c r="E23" s="148" t="s">
        <v>1160</v>
      </c>
      <c r="F23" s="146" t="s">
        <v>227</v>
      </c>
      <c r="G23" s="149">
        <v>45928.0</v>
      </c>
      <c r="H23" s="146" t="s">
        <v>259</v>
      </c>
      <c r="I23" s="146" t="s">
        <v>227</v>
      </c>
      <c r="J23" s="149">
        <v>45960.0</v>
      </c>
      <c r="K23" s="146" t="s">
        <v>258</v>
      </c>
      <c r="L23" s="146" t="s">
        <v>227</v>
      </c>
      <c r="M23" s="149">
        <v>45986.0</v>
      </c>
      <c r="N23" s="146" t="s">
        <v>259</v>
      </c>
      <c r="O23" s="150"/>
      <c r="P23" s="57"/>
      <c r="Q23" s="124"/>
      <c r="R23" s="10"/>
      <c r="S23" s="10"/>
      <c r="T23" s="10"/>
      <c r="U23" s="10"/>
      <c r="V23" s="10"/>
      <c r="W23" s="10"/>
      <c r="X23" s="10"/>
      <c r="Y23" s="10"/>
      <c r="Z23" s="10"/>
    </row>
    <row r="24" ht="12.75" customHeight="1" outlineLevel="1">
      <c r="A24" s="146" t="s">
        <v>1161</v>
      </c>
      <c r="B24" s="146" t="s">
        <v>1162</v>
      </c>
      <c r="C24" s="151" t="s">
        <v>1163</v>
      </c>
      <c r="D24" s="148" t="s">
        <v>1164</v>
      </c>
      <c r="E24" s="148" t="s">
        <v>1165</v>
      </c>
      <c r="F24" s="146" t="s">
        <v>228</v>
      </c>
      <c r="G24" s="149">
        <v>45928.0</v>
      </c>
      <c r="H24" s="146" t="s">
        <v>259</v>
      </c>
      <c r="I24" s="146" t="s">
        <v>227</v>
      </c>
      <c r="J24" s="149">
        <v>45960.0</v>
      </c>
      <c r="K24" s="146" t="s">
        <v>258</v>
      </c>
      <c r="L24" s="146" t="s">
        <v>227</v>
      </c>
      <c r="M24" s="149">
        <v>45986.0</v>
      </c>
      <c r="N24" s="146" t="s">
        <v>259</v>
      </c>
      <c r="O24" s="150"/>
      <c r="P24" s="57"/>
      <c r="Q24" s="124"/>
      <c r="R24" s="10"/>
      <c r="S24" s="10"/>
      <c r="T24" s="10"/>
      <c r="U24" s="10"/>
      <c r="V24" s="10"/>
      <c r="W24" s="10"/>
      <c r="X24" s="10"/>
      <c r="Y24" s="10"/>
      <c r="Z24" s="10"/>
    </row>
    <row r="25" ht="12.75" customHeight="1" outlineLevel="1">
      <c r="A25" s="146" t="s">
        <v>1166</v>
      </c>
      <c r="B25" s="146" t="s">
        <v>1167</v>
      </c>
      <c r="C25" s="151" t="s">
        <v>1168</v>
      </c>
      <c r="D25" s="148" t="s">
        <v>1169</v>
      </c>
      <c r="E25" s="148" t="s">
        <v>685</v>
      </c>
      <c r="F25" s="146" t="s">
        <v>227</v>
      </c>
      <c r="G25" s="149">
        <v>45928.0</v>
      </c>
      <c r="H25" s="146" t="s">
        <v>259</v>
      </c>
      <c r="I25" s="146" t="s">
        <v>227</v>
      </c>
      <c r="J25" s="149">
        <v>45960.0</v>
      </c>
      <c r="K25" s="146" t="s">
        <v>258</v>
      </c>
      <c r="L25" s="146" t="s">
        <v>227</v>
      </c>
      <c r="M25" s="149">
        <v>45986.0</v>
      </c>
      <c r="N25" s="146" t="s">
        <v>259</v>
      </c>
      <c r="O25" s="150"/>
      <c r="P25" s="57"/>
      <c r="Q25" s="124"/>
      <c r="R25" s="10"/>
      <c r="S25" s="10"/>
      <c r="T25" s="10"/>
      <c r="U25" s="10"/>
      <c r="V25" s="10"/>
      <c r="W25" s="10"/>
      <c r="X25" s="10"/>
      <c r="Y25" s="10"/>
      <c r="Z25" s="10"/>
    </row>
    <row r="26" ht="12.75" customHeight="1" outlineLevel="1">
      <c r="A26" s="146" t="s">
        <v>1170</v>
      </c>
      <c r="B26" s="146" t="s">
        <v>1171</v>
      </c>
      <c r="C26" s="151" t="s">
        <v>1172</v>
      </c>
      <c r="D26" s="148" t="s">
        <v>1173</v>
      </c>
      <c r="E26" s="148" t="s">
        <v>685</v>
      </c>
      <c r="F26" s="146" t="s">
        <v>228</v>
      </c>
      <c r="G26" s="149">
        <v>45928.0</v>
      </c>
      <c r="H26" s="146" t="s">
        <v>259</v>
      </c>
      <c r="I26" s="146" t="s">
        <v>227</v>
      </c>
      <c r="J26" s="149">
        <v>45960.0</v>
      </c>
      <c r="K26" s="146" t="s">
        <v>258</v>
      </c>
      <c r="L26" s="146" t="s">
        <v>227</v>
      </c>
      <c r="M26" s="149">
        <v>45986.0</v>
      </c>
      <c r="N26" s="146" t="s">
        <v>259</v>
      </c>
      <c r="O26" s="150"/>
      <c r="P26" s="57"/>
      <c r="Q26" s="124"/>
      <c r="R26" s="10"/>
      <c r="S26" s="10"/>
      <c r="T26" s="10"/>
      <c r="U26" s="10"/>
      <c r="V26" s="10"/>
      <c r="W26" s="10"/>
      <c r="X26" s="10"/>
      <c r="Y26" s="10"/>
      <c r="Z26" s="10"/>
    </row>
    <row r="27" ht="15.75" customHeight="1">
      <c r="A27" s="144" t="s">
        <v>1174</v>
      </c>
      <c r="B27" s="145"/>
      <c r="C27" s="117"/>
      <c r="D27" s="117"/>
      <c r="E27" s="117"/>
      <c r="F27" s="145"/>
      <c r="G27" s="145"/>
      <c r="H27" s="145"/>
      <c r="I27" s="145"/>
      <c r="J27" s="145"/>
      <c r="K27" s="145"/>
      <c r="L27" s="145"/>
      <c r="M27" s="145"/>
      <c r="N27" s="145"/>
      <c r="O27" s="145"/>
      <c r="P27" s="118"/>
      <c r="Q27" s="119"/>
      <c r="R27" s="97"/>
      <c r="S27" s="97"/>
      <c r="T27" s="97"/>
      <c r="U27" s="97"/>
      <c r="V27" s="97"/>
      <c r="W27" s="97"/>
      <c r="X27" s="97"/>
      <c r="Y27" s="97"/>
      <c r="Z27" s="97"/>
    </row>
    <row r="28" ht="12.75" customHeight="1" outlineLevel="1">
      <c r="A28" s="146" t="s">
        <v>1175</v>
      </c>
      <c r="B28" s="146" t="s">
        <v>1176</v>
      </c>
      <c r="C28" s="151" t="s">
        <v>1177</v>
      </c>
      <c r="D28" s="151" t="s">
        <v>1178</v>
      </c>
      <c r="E28" s="151" t="s">
        <v>1179</v>
      </c>
      <c r="F28" s="146" t="s">
        <v>227</v>
      </c>
      <c r="G28" s="149">
        <v>45928.0</v>
      </c>
      <c r="H28" s="146" t="s">
        <v>259</v>
      </c>
      <c r="I28" s="146" t="s">
        <v>227</v>
      </c>
      <c r="J28" s="149">
        <v>45960.0</v>
      </c>
      <c r="K28" s="146" t="s">
        <v>258</v>
      </c>
      <c r="L28" s="146" t="s">
        <v>227</v>
      </c>
      <c r="M28" s="149">
        <v>45986.0</v>
      </c>
      <c r="N28" s="146" t="s">
        <v>259</v>
      </c>
      <c r="O28" s="150"/>
      <c r="P28" s="57"/>
      <c r="Q28" s="124"/>
      <c r="R28" s="10"/>
      <c r="S28" s="10"/>
      <c r="T28" s="10"/>
      <c r="U28" s="10"/>
      <c r="V28" s="10"/>
      <c r="W28" s="10"/>
      <c r="X28" s="10"/>
      <c r="Y28" s="10"/>
      <c r="Z28" s="10"/>
    </row>
    <row r="29" ht="12.75" customHeight="1" outlineLevel="1">
      <c r="A29" s="146" t="s">
        <v>1180</v>
      </c>
      <c r="B29" s="146" t="s">
        <v>1181</v>
      </c>
      <c r="C29" s="151" t="s">
        <v>1182</v>
      </c>
      <c r="D29" s="151" t="s">
        <v>1183</v>
      </c>
      <c r="E29" s="151" t="s">
        <v>1184</v>
      </c>
      <c r="F29" s="146" t="s">
        <v>227</v>
      </c>
      <c r="G29" s="149">
        <v>45928.0</v>
      </c>
      <c r="H29" s="146" t="s">
        <v>259</v>
      </c>
      <c r="I29" s="146" t="s">
        <v>227</v>
      </c>
      <c r="J29" s="149">
        <v>45960.0</v>
      </c>
      <c r="K29" s="146" t="s">
        <v>258</v>
      </c>
      <c r="L29" s="146" t="s">
        <v>227</v>
      </c>
      <c r="M29" s="149">
        <v>45986.0</v>
      </c>
      <c r="N29" s="146" t="s">
        <v>259</v>
      </c>
      <c r="O29" s="153"/>
      <c r="P29" s="57"/>
      <c r="Q29" s="89"/>
      <c r="R29" s="10"/>
      <c r="S29" s="10"/>
      <c r="T29" s="10"/>
      <c r="U29" s="10"/>
      <c r="V29" s="10"/>
      <c r="W29" s="10"/>
      <c r="X29" s="10"/>
      <c r="Y29" s="10"/>
      <c r="Z29" s="10"/>
    </row>
    <row r="30" ht="44.25" customHeight="1" outlineLevel="1">
      <c r="A30" s="146" t="s">
        <v>1185</v>
      </c>
      <c r="B30" s="152" t="s">
        <v>1186</v>
      </c>
      <c r="C30" s="151" t="s">
        <v>1187</v>
      </c>
      <c r="D30" s="151" t="s">
        <v>1188</v>
      </c>
      <c r="E30" s="151" t="s">
        <v>1184</v>
      </c>
      <c r="F30" s="146" t="s">
        <v>227</v>
      </c>
      <c r="G30" s="149">
        <v>45928.0</v>
      </c>
      <c r="H30" s="146" t="s">
        <v>259</v>
      </c>
      <c r="I30" s="146" t="s">
        <v>227</v>
      </c>
      <c r="J30" s="149">
        <v>45960.0</v>
      </c>
      <c r="K30" s="146" t="s">
        <v>258</v>
      </c>
      <c r="L30" s="146" t="s">
        <v>227</v>
      </c>
      <c r="M30" s="149">
        <v>45986.0</v>
      </c>
      <c r="N30" s="146" t="s">
        <v>259</v>
      </c>
      <c r="O30" s="153"/>
      <c r="P30" s="57"/>
      <c r="Q30" s="89"/>
      <c r="R30" s="10"/>
      <c r="S30" s="10"/>
      <c r="T30" s="10"/>
      <c r="U30" s="10"/>
      <c r="V30" s="10"/>
      <c r="W30" s="10"/>
      <c r="X30" s="10"/>
      <c r="Y30" s="10"/>
      <c r="Z30" s="10"/>
    </row>
    <row r="31" ht="45.75" customHeight="1" outlineLevel="1">
      <c r="A31" s="146" t="s">
        <v>1189</v>
      </c>
      <c r="B31" s="146" t="s">
        <v>1190</v>
      </c>
      <c r="C31" s="151" t="s">
        <v>1191</v>
      </c>
      <c r="D31" s="151" t="s">
        <v>1130</v>
      </c>
      <c r="E31" s="151" t="s">
        <v>1192</v>
      </c>
      <c r="F31" s="146" t="s">
        <v>227</v>
      </c>
      <c r="G31" s="149">
        <v>45928.0</v>
      </c>
      <c r="H31" s="146" t="s">
        <v>259</v>
      </c>
      <c r="I31" s="146" t="s">
        <v>227</v>
      </c>
      <c r="J31" s="149">
        <v>45960.0</v>
      </c>
      <c r="K31" s="146" t="s">
        <v>258</v>
      </c>
      <c r="L31" s="146" t="s">
        <v>227</v>
      </c>
      <c r="M31" s="149">
        <v>45986.0</v>
      </c>
      <c r="N31" s="146" t="s">
        <v>259</v>
      </c>
      <c r="O31" s="153"/>
      <c r="P31" s="57"/>
      <c r="Q31" s="89"/>
      <c r="R31" s="10"/>
      <c r="S31" s="10"/>
      <c r="T31" s="10"/>
      <c r="U31" s="10"/>
      <c r="V31" s="10"/>
      <c r="W31" s="10"/>
      <c r="X31" s="10"/>
      <c r="Y31" s="10"/>
      <c r="Z31" s="10"/>
    </row>
    <row r="32" ht="12.75" customHeight="1" outlineLevel="1">
      <c r="A32" s="146" t="s">
        <v>1193</v>
      </c>
      <c r="B32" s="146" t="s">
        <v>1194</v>
      </c>
      <c r="C32" s="151" t="s">
        <v>1195</v>
      </c>
      <c r="D32" s="151" t="s">
        <v>1196</v>
      </c>
      <c r="E32" s="151" t="s">
        <v>1197</v>
      </c>
      <c r="F32" s="146" t="s">
        <v>227</v>
      </c>
      <c r="G32" s="149">
        <v>45928.0</v>
      </c>
      <c r="H32" s="146" t="s">
        <v>259</v>
      </c>
      <c r="I32" s="146" t="s">
        <v>227</v>
      </c>
      <c r="J32" s="149">
        <v>45960.0</v>
      </c>
      <c r="K32" s="146" t="s">
        <v>258</v>
      </c>
      <c r="L32" s="146" t="s">
        <v>227</v>
      </c>
      <c r="M32" s="149">
        <v>45986.0</v>
      </c>
      <c r="N32" s="146" t="s">
        <v>259</v>
      </c>
      <c r="O32" s="153"/>
      <c r="P32" s="154"/>
      <c r="Q32" s="155"/>
      <c r="R32" s="154"/>
      <c r="S32" s="154"/>
      <c r="T32" s="154"/>
      <c r="U32" s="154"/>
      <c r="V32" s="154"/>
      <c r="W32" s="154"/>
      <c r="X32" s="154"/>
      <c r="Y32" s="154"/>
      <c r="Z32" s="154"/>
    </row>
    <row r="33" ht="12.75" customHeight="1" outlineLevel="1">
      <c r="A33" s="146" t="s">
        <v>1198</v>
      </c>
      <c r="B33" s="146" t="s">
        <v>1199</v>
      </c>
      <c r="C33" s="151" t="s">
        <v>1200</v>
      </c>
      <c r="D33" s="151" t="s">
        <v>1201</v>
      </c>
      <c r="E33" s="151" t="s">
        <v>1202</v>
      </c>
      <c r="F33" s="146" t="s">
        <v>227</v>
      </c>
      <c r="G33" s="149">
        <v>45928.0</v>
      </c>
      <c r="H33" s="146" t="s">
        <v>259</v>
      </c>
      <c r="I33" s="146" t="s">
        <v>227</v>
      </c>
      <c r="J33" s="149">
        <v>45960.0</v>
      </c>
      <c r="K33" s="146" t="s">
        <v>258</v>
      </c>
      <c r="L33" s="146" t="s">
        <v>227</v>
      </c>
      <c r="M33" s="149">
        <v>45986.0</v>
      </c>
      <c r="N33" s="146" t="s">
        <v>259</v>
      </c>
      <c r="O33" s="153"/>
      <c r="P33" s="154"/>
      <c r="Q33" s="155"/>
      <c r="R33" s="154"/>
      <c r="S33" s="154"/>
      <c r="T33" s="154"/>
      <c r="U33" s="154"/>
      <c r="V33" s="154"/>
      <c r="W33" s="154"/>
      <c r="X33" s="154"/>
      <c r="Y33" s="154"/>
      <c r="Z33" s="154"/>
    </row>
    <row r="34" ht="12.75" customHeight="1" outlineLevel="1">
      <c r="A34" s="146" t="s">
        <v>1203</v>
      </c>
      <c r="B34" s="146" t="s">
        <v>1204</v>
      </c>
      <c r="C34" s="151" t="s">
        <v>1205</v>
      </c>
      <c r="D34" s="151" t="s">
        <v>1206</v>
      </c>
      <c r="E34" s="151" t="s">
        <v>1207</v>
      </c>
      <c r="F34" s="146" t="s">
        <v>227</v>
      </c>
      <c r="G34" s="149">
        <v>45928.0</v>
      </c>
      <c r="H34" s="146" t="s">
        <v>259</v>
      </c>
      <c r="I34" s="146" t="s">
        <v>227</v>
      </c>
      <c r="J34" s="149">
        <v>45960.0</v>
      </c>
      <c r="K34" s="146" t="s">
        <v>258</v>
      </c>
      <c r="L34" s="146" t="s">
        <v>227</v>
      </c>
      <c r="M34" s="149">
        <v>45986.0</v>
      </c>
      <c r="N34" s="146" t="s">
        <v>259</v>
      </c>
      <c r="O34" s="153"/>
      <c r="P34" s="154"/>
      <c r="Q34" s="155"/>
      <c r="R34" s="154"/>
      <c r="S34" s="154"/>
      <c r="T34" s="154"/>
      <c r="U34" s="154"/>
      <c r="V34" s="154"/>
      <c r="W34" s="154"/>
      <c r="X34" s="154"/>
      <c r="Y34" s="154"/>
      <c r="Z34" s="154"/>
    </row>
    <row r="35" ht="12.75" customHeight="1" outlineLevel="1">
      <c r="A35" s="146" t="s">
        <v>1208</v>
      </c>
      <c r="B35" s="146" t="s">
        <v>1209</v>
      </c>
      <c r="C35" s="151" t="s">
        <v>1210</v>
      </c>
      <c r="D35" s="151" t="s">
        <v>1211</v>
      </c>
      <c r="E35" s="151" t="s">
        <v>1212</v>
      </c>
      <c r="F35" s="146" t="s">
        <v>227</v>
      </c>
      <c r="G35" s="149">
        <v>45928.0</v>
      </c>
      <c r="H35" s="146" t="s">
        <v>259</v>
      </c>
      <c r="I35" s="146" t="s">
        <v>227</v>
      </c>
      <c r="J35" s="149">
        <v>45960.0</v>
      </c>
      <c r="K35" s="146" t="s">
        <v>258</v>
      </c>
      <c r="L35" s="146" t="s">
        <v>227</v>
      </c>
      <c r="M35" s="149">
        <v>45986.0</v>
      </c>
      <c r="N35" s="146" t="s">
        <v>259</v>
      </c>
      <c r="O35" s="153"/>
      <c r="P35" s="154"/>
      <c r="Q35" s="155"/>
      <c r="R35" s="154"/>
      <c r="S35" s="154"/>
      <c r="T35" s="154"/>
      <c r="U35" s="154"/>
      <c r="V35" s="154"/>
      <c r="W35" s="154"/>
      <c r="X35" s="154"/>
      <c r="Y35" s="154"/>
      <c r="Z35" s="154"/>
    </row>
    <row r="36" ht="12.75" customHeight="1" outlineLevel="1">
      <c r="A36" s="146" t="s">
        <v>1213</v>
      </c>
      <c r="B36" s="146" t="s">
        <v>1214</v>
      </c>
      <c r="C36" s="151" t="s">
        <v>1215</v>
      </c>
      <c r="D36" s="151" t="s">
        <v>1216</v>
      </c>
      <c r="E36" s="151" t="s">
        <v>1184</v>
      </c>
      <c r="F36" s="146" t="s">
        <v>227</v>
      </c>
      <c r="G36" s="149">
        <v>45928.0</v>
      </c>
      <c r="H36" s="146" t="s">
        <v>259</v>
      </c>
      <c r="I36" s="146" t="s">
        <v>227</v>
      </c>
      <c r="J36" s="149">
        <v>45960.0</v>
      </c>
      <c r="K36" s="146" t="s">
        <v>258</v>
      </c>
      <c r="L36" s="146" t="s">
        <v>227</v>
      </c>
      <c r="M36" s="149">
        <v>45986.0</v>
      </c>
      <c r="N36" s="146" t="s">
        <v>259</v>
      </c>
      <c r="O36" s="153"/>
      <c r="P36" s="154"/>
      <c r="Q36" s="155"/>
      <c r="R36" s="154"/>
      <c r="S36" s="154"/>
      <c r="T36" s="154"/>
      <c r="U36" s="154"/>
      <c r="V36" s="154"/>
      <c r="W36" s="154"/>
      <c r="X36" s="154"/>
      <c r="Y36" s="154"/>
      <c r="Z36" s="154"/>
    </row>
    <row r="37" ht="12.75" customHeight="1" outlineLevel="1">
      <c r="A37" s="146" t="s">
        <v>1217</v>
      </c>
      <c r="B37" s="146" t="s">
        <v>1218</v>
      </c>
      <c r="C37" s="156" t="s">
        <v>1219</v>
      </c>
      <c r="D37" s="151" t="s">
        <v>1220</v>
      </c>
      <c r="E37" s="151" t="s">
        <v>1184</v>
      </c>
      <c r="F37" s="146" t="s">
        <v>227</v>
      </c>
      <c r="G37" s="149">
        <v>45928.0</v>
      </c>
      <c r="H37" s="146" t="s">
        <v>259</v>
      </c>
      <c r="I37" s="146" t="s">
        <v>227</v>
      </c>
      <c r="J37" s="149">
        <v>45960.0</v>
      </c>
      <c r="K37" s="146" t="s">
        <v>258</v>
      </c>
      <c r="L37" s="146" t="s">
        <v>227</v>
      </c>
      <c r="M37" s="149">
        <v>45986.0</v>
      </c>
      <c r="N37" s="146" t="s">
        <v>259</v>
      </c>
      <c r="O37" s="153"/>
      <c r="P37" s="154"/>
      <c r="Q37" s="155"/>
      <c r="R37" s="154"/>
      <c r="S37" s="154"/>
      <c r="T37" s="154"/>
      <c r="U37" s="154"/>
      <c r="V37" s="154"/>
      <c r="W37" s="154"/>
      <c r="X37" s="154"/>
      <c r="Y37" s="154"/>
      <c r="Z37" s="154"/>
    </row>
    <row r="38" ht="12.75" customHeight="1" outlineLevel="1">
      <c r="A38" s="146" t="s">
        <v>1221</v>
      </c>
      <c r="B38" s="146" t="s">
        <v>1222</v>
      </c>
      <c r="C38" s="151" t="s">
        <v>1223</v>
      </c>
      <c r="D38" s="151" t="s">
        <v>1224</v>
      </c>
      <c r="E38" s="151" t="s">
        <v>1225</v>
      </c>
      <c r="F38" s="146" t="s">
        <v>228</v>
      </c>
      <c r="G38" s="149">
        <v>45928.0</v>
      </c>
      <c r="H38" s="146" t="s">
        <v>259</v>
      </c>
      <c r="I38" s="146" t="s">
        <v>227</v>
      </c>
      <c r="J38" s="149">
        <v>45960.0</v>
      </c>
      <c r="K38" s="146" t="s">
        <v>258</v>
      </c>
      <c r="L38" s="146" t="s">
        <v>227</v>
      </c>
      <c r="M38" s="149">
        <v>45986.0</v>
      </c>
      <c r="N38" s="146" t="s">
        <v>259</v>
      </c>
      <c r="O38" s="153"/>
      <c r="P38" s="154"/>
      <c r="Q38" s="155"/>
      <c r="R38" s="154"/>
      <c r="S38" s="154"/>
      <c r="T38" s="154"/>
      <c r="U38" s="154"/>
      <c r="V38" s="154"/>
      <c r="W38" s="154"/>
      <c r="X38" s="154"/>
      <c r="Y38" s="154"/>
      <c r="Z38" s="154"/>
    </row>
    <row r="39" ht="12.75" customHeight="1" outlineLevel="1">
      <c r="A39" s="146" t="s">
        <v>1226</v>
      </c>
      <c r="B39" s="146" t="s">
        <v>1227</v>
      </c>
      <c r="C39" s="151" t="s">
        <v>1228</v>
      </c>
      <c r="D39" s="151" t="s">
        <v>1229</v>
      </c>
      <c r="E39" s="151" t="s">
        <v>1230</v>
      </c>
      <c r="F39" s="146" t="s">
        <v>227</v>
      </c>
      <c r="G39" s="149">
        <v>45928.0</v>
      </c>
      <c r="H39" s="146" t="s">
        <v>259</v>
      </c>
      <c r="I39" s="146" t="s">
        <v>227</v>
      </c>
      <c r="J39" s="149">
        <v>45960.0</v>
      </c>
      <c r="K39" s="146" t="s">
        <v>258</v>
      </c>
      <c r="L39" s="146" t="s">
        <v>227</v>
      </c>
      <c r="M39" s="149">
        <v>45986.0</v>
      </c>
      <c r="N39" s="146" t="s">
        <v>259</v>
      </c>
      <c r="O39" s="153"/>
      <c r="P39" s="154"/>
      <c r="Q39" s="155"/>
      <c r="R39" s="154"/>
      <c r="S39" s="154"/>
      <c r="T39" s="154"/>
      <c r="U39" s="154"/>
      <c r="V39" s="154"/>
      <c r="W39" s="154"/>
      <c r="X39" s="154"/>
      <c r="Y39" s="154"/>
      <c r="Z39" s="154"/>
    </row>
    <row r="40" ht="12.75" customHeight="1" outlineLevel="1">
      <c r="A40" s="146" t="s">
        <v>1231</v>
      </c>
      <c r="B40" s="146" t="s">
        <v>1232</v>
      </c>
      <c r="C40" s="151" t="s">
        <v>1233</v>
      </c>
      <c r="D40" s="151" t="s">
        <v>1234</v>
      </c>
      <c r="E40" s="151" t="s">
        <v>1184</v>
      </c>
      <c r="F40" s="146" t="s">
        <v>227</v>
      </c>
      <c r="G40" s="149">
        <v>45928.0</v>
      </c>
      <c r="H40" s="146" t="s">
        <v>259</v>
      </c>
      <c r="I40" s="146" t="s">
        <v>227</v>
      </c>
      <c r="J40" s="149">
        <v>45960.0</v>
      </c>
      <c r="K40" s="146" t="s">
        <v>258</v>
      </c>
      <c r="L40" s="146" t="s">
        <v>227</v>
      </c>
      <c r="M40" s="149">
        <v>45986.0</v>
      </c>
      <c r="N40" s="146" t="s">
        <v>259</v>
      </c>
      <c r="O40" s="153"/>
      <c r="P40" s="154"/>
      <c r="Q40" s="155"/>
      <c r="R40" s="154"/>
      <c r="S40" s="154"/>
      <c r="T40" s="154"/>
      <c r="U40" s="154"/>
      <c r="V40" s="154"/>
      <c r="W40" s="154"/>
      <c r="X40" s="154"/>
      <c r="Y40" s="154"/>
      <c r="Z40" s="154"/>
    </row>
    <row r="41" ht="12.75" customHeight="1" outlineLevel="1">
      <c r="A41" s="146" t="s">
        <v>1235</v>
      </c>
      <c r="B41" s="146" t="s">
        <v>1236</v>
      </c>
      <c r="C41" s="151" t="s">
        <v>1237</v>
      </c>
      <c r="D41" s="151" t="s">
        <v>1238</v>
      </c>
      <c r="E41" s="151" t="s">
        <v>1184</v>
      </c>
      <c r="F41" s="146" t="s">
        <v>227</v>
      </c>
      <c r="G41" s="149">
        <v>45928.0</v>
      </c>
      <c r="H41" s="146" t="s">
        <v>259</v>
      </c>
      <c r="I41" s="146" t="s">
        <v>227</v>
      </c>
      <c r="J41" s="149">
        <v>45960.0</v>
      </c>
      <c r="K41" s="146" t="s">
        <v>258</v>
      </c>
      <c r="L41" s="146" t="s">
        <v>227</v>
      </c>
      <c r="M41" s="149">
        <v>45986.0</v>
      </c>
      <c r="N41" s="146" t="s">
        <v>259</v>
      </c>
      <c r="O41" s="153"/>
      <c r="P41" s="154"/>
      <c r="Q41" s="155"/>
      <c r="R41" s="154"/>
      <c r="S41" s="154"/>
      <c r="T41" s="154"/>
      <c r="U41" s="154"/>
      <c r="V41" s="154"/>
      <c r="W41" s="154"/>
      <c r="X41" s="154"/>
      <c r="Y41" s="154"/>
      <c r="Z41" s="154"/>
    </row>
    <row r="42" ht="12.75" customHeight="1" outlineLevel="1">
      <c r="A42" s="146" t="s">
        <v>1239</v>
      </c>
      <c r="B42" s="152" t="s">
        <v>1240</v>
      </c>
      <c r="C42" s="151" t="s">
        <v>1241</v>
      </c>
      <c r="D42" s="151" t="s">
        <v>1242</v>
      </c>
      <c r="E42" s="151" t="s">
        <v>1184</v>
      </c>
      <c r="F42" s="146" t="s">
        <v>228</v>
      </c>
      <c r="G42" s="149">
        <v>45928.0</v>
      </c>
      <c r="H42" s="146" t="s">
        <v>259</v>
      </c>
      <c r="I42" s="146" t="s">
        <v>227</v>
      </c>
      <c r="J42" s="149">
        <v>45960.0</v>
      </c>
      <c r="K42" s="146" t="s">
        <v>258</v>
      </c>
      <c r="L42" s="146" t="s">
        <v>227</v>
      </c>
      <c r="M42" s="149">
        <v>45986.0</v>
      </c>
      <c r="N42" s="146" t="s">
        <v>259</v>
      </c>
      <c r="O42" s="153"/>
      <c r="P42" s="154"/>
      <c r="Q42" s="155"/>
      <c r="R42" s="154"/>
      <c r="S42" s="154"/>
      <c r="T42" s="154"/>
      <c r="U42" s="154"/>
      <c r="V42" s="154"/>
      <c r="W42" s="154"/>
      <c r="X42" s="154"/>
      <c r="Y42" s="154"/>
      <c r="Z42" s="154"/>
    </row>
    <row r="43" ht="15.75" customHeight="1">
      <c r="A43" s="144" t="s">
        <v>1243</v>
      </c>
      <c r="B43" s="145"/>
      <c r="C43" s="117"/>
      <c r="D43" s="117"/>
      <c r="E43" s="117"/>
      <c r="F43" s="145"/>
      <c r="G43" s="145"/>
      <c r="H43" s="145"/>
      <c r="I43" s="145"/>
      <c r="J43" s="145"/>
      <c r="K43" s="145"/>
      <c r="L43" s="145"/>
      <c r="M43" s="145"/>
      <c r="N43" s="145"/>
      <c r="O43" s="145"/>
      <c r="P43" s="118"/>
      <c r="Q43" s="119"/>
      <c r="R43" s="97"/>
      <c r="S43" s="97"/>
      <c r="T43" s="97"/>
      <c r="U43" s="97"/>
      <c r="V43" s="97"/>
      <c r="W43" s="97"/>
      <c r="X43" s="97"/>
      <c r="Y43" s="97"/>
      <c r="Z43" s="97"/>
    </row>
    <row r="44" ht="12.75" customHeight="1" outlineLevel="1">
      <c r="A44" s="146" t="s">
        <v>1244</v>
      </c>
      <c r="B44" s="152" t="s">
        <v>1245</v>
      </c>
      <c r="C44" s="151" t="s">
        <v>1246</v>
      </c>
      <c r="D44" s="151" t="s">
        <v>1247</v>
      </c>
      <c r="E44" s="151" t="s">
        <v>1184</v>
      </c>
      <c r="F44" s="146" t="s">
        <v>227</v>
      </c>
      <c r="G44" s="149">
        <v>45928.0</v>
      </c>
      <c r="H44" s="146" t="s">
        <v>259</v>
      </c>
      <c r="I44" s="146" t="s">
        <v>227</v>
      </c>
      <c r="J44" s="149">
        <v>45960.0</v>
      </c>
      <c r="K44" s="146" t="s">
        <v>258</v>
      </c>
      <c r="L44" s="146" t="s">
        <v>227</v>
      </c>
      <c r="M44" s="149">
        <v>45986.0</v>
      </c>
      <c r="N44" s="146" t="s">
        <v>259</v>
      </c>
      <c r="O44" s="153"/>
      <c r="P44" s="154"/>
      <c r="Q44" s="155"/>
      <c r="R44" s="154"/>
      <c r="S44" s="154"/>
      <c r="T44" s="154"/>
      <c r="U44" s="154"/>
      <c r="V44" s="154"/>
      <c r="W44" s="154"/>
      <c r="X44" s="154"/>
      <c r="Y44" s="154"/>
      <c r="Z44" s="154"/>
    </row>
    <row r="45" ht="12.75" customHeight="1" outlineLevel="1">
      <c r="A45" s="146" t="s">
        <v>1248</v>
      </c>
      <c r="B45" s="152" t="s">
        <v>1249</v>
      </c>
      <c r="C45" s="151" t="s">
        <v>1250</v>
      </c>
      <c r="D45" s="151" t="s">
        <v>1251</v>
      </c>
      <c r="E45" s="151" t="s">
        <v>1252</v>
      </c>
      <c r="F45" s="146" t="s">
        <v>227</v>
      </c>
      <c r="G45" s="149">
        <v>45928.0</v>
      </c>
      <c r="H45" s="146" t="s">
        <v>259</v>
      </c>
      <c r="I45" s="146" t="s">
        <v>227</v>
      </c>
      <c r="J45" s="149">
        <v>45960.0</v>
      </c>
      <c r="K45" s="146" t="s">
        <v>258</v>
      </c>
      <c r="L45" s="146" t="s">
        <v>227</v>
      </c>
      <c r="M45" s="149">
        <v>45986.0</v>
      </c>
      <c r="N45" s="146" t="s">
        <v>259</v>
      </c>
      <c r="O45" s="153"/>
      <c r="P45" s="154"/>
      <c r="Q45" s="155"/>
      <c r="R45" s="154"/>
      <c r="S45" s="154"/>
      <c r="T45" s="154"/>
      <c r="U45" s="154"/>
      <c r="V45" s="154"/>
      <c r="W45" s="154"/>
      <c r="X45" s="154"/>
      <c r="Y45" s="154"/>
      <c r="Z45" s="154"/>
    </row>
    <row r="46" ht="12.75" customHeight="1" outlineLevel="1">
      <c r="A46" s="146" t="s">
        <v>1253</v>
      </c>
      <c r="B46" s="152" t="s">
        <v>1254</v>
      </c>
      <c r="C46" s="151" t="s">
        <v>1255</v>
      </c>
      <c r="D46" s="151" t="s">
        <v>1256</v>
      </c>
      <c r="E46" s="151" t="s">
        <v>1257</v>
      </c>
      <c r="F46" s="146" t="s">
        <v>227</v>
      </c>
      <c r="G46" s="149">
        <v>45928.0</v>
      </c>
      <c r="H46" s="146" t="s">
        <v>259</v>
      </c>
      <c r="I46" s="146" t="s">
        <v>227</v>
      </c>
      <c r="J46" s="149">
        <v>45960.0</v>
      </c>
      <c r="K46" s="146" t="s">
        <v>258</v>
      </c>
      <c r="L46" s="146" t="s">
        <v>227</v>
      </c>
      <c r="M46" s="149">
        <v>45986.0</v>
      </c>
      <c r="N46" s="146" t="s">
        <v>259</v>
      </c>
      <c r="O46" s="153"/>
      <c r="P46" s="154"/>
      <c r="Q46" s="155"/>
      <c r="R46" s="154"/>
      <c r="S46" s="154"/>
      <c r="T46" s="154"/>
      <c r="U46" s="154"/>
      <c r="V46" s="154"/>
      <c r="W46" s="154"/>
      <c r="X46" s="154"/>
      <c r="Y46" s="154"/>
      <c r="Z46" s="154"/>
    </row>
    <row r="47" ht="36.0" customHeight="1" outlineLevel="1">
      <c r="A47" s="146" t="s">
        <v>1258</v>
      </c>
      <c r="B47" s="152" t="s">
        <v>1259</v>
      </c>
      <c r="C47" s="151" t="s">
        <v>1260</v>
      </c>
      <c r="D47" s="151" t="s">
        <v>1261</v>
      </c>
      <c r="E47" s="151" t="s">
        <v>1262</v>
      </c>
      <c r="F47" s="146" t="s">
        <v>227</v>
      </c>
      <c r="G47" s="149">
        <v>45928.0</v>
      </c>
      <c r="H47" s="146" t="s">
        <v>259</v>
      </c>
      <c r="I47" s="146" t="s">
        <v>227</v>
      </c>
      <c r="J47" s="149">
        <v>45960.0</v>
      </c>
      <c r="K47" s="146" t="s">
        <v>258</v>
      </c>
      <c r="L47" s="146" t="s">
        <v>227</v>
      </c>
      <c r="M47" s="149">
        <v>45986.0</v>
      </c>
      <c r="N47" s="146" t="s">
        <v>259</v>
      </c>
      <c r="O47" s="153"/>
      <c r="P47" s="154"/>
      <c r="Q47" s="155"/>
      <c r="R47" s="154"/>
      <c r="S47" s="154"/>
      <c r="T47" s="154"/>
      <c r="U47" s="154"/>
      <c r="V47" s="154"/>
      <c r="W47" s="154"/>
      <c r="X47" s="154"/>
      <c r="Y47" s="154"/>
      <c r="Z47" s="154"/>
    </row>
    <row r="48" ht="12.75" customHeight="1" outlineLevel="1">
      <c r="A48" s="146" t="s">
        <v>1263</v>
      </c>
      <c r="B48" s="152" t="s">
        <v>1264</v>
      </c>
      <c r="C48" s="151" t="s">
        <v>1265</v>
      </c>
      <c r="D48" s="151" t="s">
        <v>1266</v>
      </c>
      <c r="E48" s="151" t="s">
        <v>1267</v>
      </c>
      <c r="F48" s="146" t="s">
        <v>227</v>
      </c>
      <c r="G48" s="149">
        <v>45928.0</v>
      </c>
      <c r="H48" s="146" t="s">
        <v>259</v>
      </c>
      <c r="I48" s="146" t="s">
        <v>227</v>
      </c>
      <c r="J48" s="149">
        <v>45960.0</v>
      </c>
      <c r="K48" s="146" t="s">
        <v>258</v>
      </c>
      <c r="L48" s="146" t="s">
        <v>227</v>
      </c>
      <c r="M48" s="149">
        <v>45986.0</v>
      </c>
      <c r="N48" s="146" t="s">
        <v>259</v>
      </c>
      <c r="O48" s="153"/>
      <c r="P48" s="154"/>
      <c r="Q48" s="155"/>
      <c r="R48" s="154"/>
      <c r="S48" s="154"/>
      <c r="T48" s="154"/>
      <c r="U48" s="154"/>
      <c r="V48" s="154"/>
      <c r="W48" s="154"/>
      <c r="X48" s="154"/>
      <c r="Y48" s="154"/>
      <c r="Z48" s="154"/>
    </row>
    <row r="49" ht="12.75" customHeight="1" outlineLevel="1">
      <c r="A49" s="146" t="s">
        <v>1268</v>
      </c>
      <c r="B49" s="152" t="s">
        <v>1269</v>
      </c>
      <c r="C49" s="151" t="s">
        <v>1270</v>
      </c>
      <c r="D49" s="151" t="s">
        <v>1271</v>
      </c>
      <c r="E49" s="151" t="s">
        <v>1272</v>
      </c>
      <c r="F49" s="146" t="s">
        <v>227</v>
      </c>
      <c r="G49" s="149">
        <v>45928.0</v>
      </c>
      <c r="H49" s="146" t="s">
        <v>259</v>
      </c>
      <c r="I49" s="146" t="s">
        <v>227</v>
      </c>
      <c r="J49" s="149">
        <v>45960.0</v>
      </c>
      <c r="K49" s="146" t="s">
        <v>258</v>
      </c>
      <c r="L49" s="146" t="s">
        <v>227</v>
      </c>
      <c r="M49" s="149">
        <v>45986.0</v>
      </c>
      <c r="N49" s="146" t="s">
        <v>259</v>
      </c>
      <c r="O49" s="153"/>
      <c r="P49" s="154"/>
      <c r="Q49" s="155"/>
      <c r="R49" s="154"/>
      <c r="S49" s="154"/>
      <c r="T49" s="154"/>
      <c r="U49" s="154"/>
      <c r="V49" s="154"/>
      <c r="W49" s="154"/>
      <c r="X49" s="154"/>
      <c r="Y49" s="154"/>
      <c r="Z49" s="154"/>
    </row>
    <row r="50" ht="12.75" customHeight="1" outlineLevel="1">
      <c r="A50" s="146" t="s">
        <v>1273</v>
      </c>
      <c r="B50" s="152" t="s">
        <v>1274</v>
      </c>
      <c r="C50" s="151" t="s">
        <v>1275</v>
      </c>
      <c r="D50" s="151" t="s">
        <v>1276</v>
      </c>
      <c r="E50" s="151" t="s">
        <v>1277</v>
      </c>
      <c r="F50" s="146" t="s">
        <v>227</v>
      </c>
      <c r="G50" s="149">
        <v>45928.0</v>
      </c>
      <c r="H50" s="146" t="s">
        <v>259</v>
      </c>
      <c r="I50" s="146" t="s">
        <v>227</v>
      </c>
      <c r="J50" s="149">
        <v>45960.0</v>
      </c>
      <c r="K50" s="146" t="s">
        <v>258</v>
      </c>
      <c r="L50" s="146" t="s">
        <v>227</v>
      </c>
      <c r="M50" s="149">
        <v>45986.0</v>
      </c>
      <c r="N50" s="146" t="s">
        <v>259</v>
      </c>
      <c r="O50" s="153"/>
      <c r="P50" s="154"/>
      <c r="Q50" s="155"/>
      <c r="R50" s="154"/>
      <c r="S50" s="154"/>
      <c r="T50" s="154"/>
      <c r="U50" s="154"/>
      <c r="V50" s="154"/>
      <c r="W50" s="154"/>
      <c r="X50" s="154"/>
      <c r="Y50" s="154"/>
      <c r="Z50" s="154"/>
    </row>
    <row r="51" ht="12.75" customHeight="1" outlineLevel="1">
      <c r="A51" s="146" t="s">
        <v>1278</v>
      </c>
      <c r="B51" s="152" t="s">
        <v>1279</v>
      </c>
      <c r="C51" s="151" t="s">
        <v>1280</v>
      </c>
      <c r="D51" s="151" t="s">
        <v>1281</v>
      </c>
      <c r="E51" s="151" t="s">
        <v>1282</v>
      </c>
      <c r="F51" s="146" t="s">
        <v>227</v>
      </c>
      <c r="G51" s="149">
        <v>45928.0</v>
      </c>
      <c r="H51" s="146" t="s">
        <v>259</v>
      </c>
      <c r="I51" s="146" t="s">
        <v>227</v>
      </c>
      <c r="J51" s="149">
        <v>45960.0</v>
      </c>
      <c r="K51" s="146" t="s">
        <v>258</v>
      </c>
      <c r="L51" s="146" t="s">
        <v>227</v>
      </c>
      <c r="M51" s="149">
        <v>45986.0</v>
      </c>
      <c r="N51" s="146" t="s">
        <v>259</v>
      </c>
      <c r="O51" s="153"/>
      <c r="P51" s="154"/>
      <c r="Q51" s="155"/>
      <c r="R51" s="154"/>
      <c r="S51" s="154"/>
      <c r="T51" s="154"/>
      <c r="U51" s="154"/>
      <c r="V51" s="154"/>
      <c r="W51" s="154"/>
      <c r="X51" s="154"/>
      <c r="Y51" s="154"/>
      <c r="Z51" s="154"/>
    </row>
    <row r="52" ht="12.75" customHeight="1" outlineLevel="1">
      <c r="A52" s="146" t="s">
        <v>1283</v>
      </c>
      <c r="B52" s="152" t="s">
        <v>1284</v>
      </c>
      <c r="C52" s="151" t="s">
        <v>1285</v>
      </c>
      <c r="D52" s="151" t="s">
        <v>1286</v>
      </c>
      <c r="E52" s="151" t="s">
        <v>1287</v>
      </c>
      <c r="F52" s="146" t="s">
        <v>227</v>
      </c>
      <c r="G52" s="149">
        <v>45928.0</v>
      </c>
      <c r="H52" s="146" t="s">
        <v>259</v>
      </c>
      <c r="I52" s="146" t="s">
        <v>227</v>
      </c>
      <c r="J52" s="149">
        <v>45960.0</v>
      </c>
      <c r="K52" s="146" t="s">
        <v>258</v>
      </c>
      <c r="L52" s="146" t="s">
        <v>227</v>
      </c>
      <c r="M52" s="149">
        <v>45986.0</v>
      </c>
      <c r="N52" s="146" t="s">
        <v>259</v>
      </c>
      <c r="O52" s="153"/>
      <c r="P52" s="154"/>
      <c r="Q52" s="155"/>
      <c r="R52" s="154"/>
      <c r="S52" s="154"/>
      <c r="T52" s="154"/>
      <c r="U52" s="154"/>
      <c r="V52" s="154"/>
      <c r="W52" s="154"/>
      <c r="X52" s="154"/>
      <c r="Y52" s="154"/>
      <c r="Z52" s="154"/>
    </row>
    <row r="53" ht="12.75" customHeight="1" outlineLevel="1">
      <c r="A53" s="146" t="s">
        <v>1288</v>
      </c>
      <c r="B53" s="152" t="s">
        <v>1289</v>
      </c>
      <c r="C53" s="151" t="s">
        <v>1290</v>
      </c>
      <c r="D53" s="151" t="s">
        <v>1291</v>
      </c>
      <c r="E53" s="151" t="s">
        <v>1292</v>
      </c>
      <c r="F53" s="146" t="s">
        <v>227</v>
      </c>
      <c r="G53" s="149">
        <v>45928.0</v>
      </c>
      <c r="H53" s="146" t="s">
        <v>259</v>
      </c>
      <c r="I53" s="146" t="s">
        <v>227</v>
      </c>
      <c r="J53" s="149">
        <v>45960.0</v>
      </c>
      <c r="K53" s="146" t="s">
        <v>258</v>
      </c>
      <c r="L53" s="146" t="s">
        <v>227</v>
      </c>
      <c r="M53" s="149">
        <v>45986.0</v>
      </c>
      <c r="N53" s="146" t="s">
        <v>259</v>
      </c>
      <c r="O53" s="153"/>
      <c r="P53" s="154"/>
      <c r="Q53" s="155"/>
      <c r="R53" s="154"/>
      <c r="S53" s="154"/>
      <c r="T53" s="154"/>
      <c r="U53" s="154"/>
      <c r="V53" s="154"/>
      <c r="W53" s="154"/>
      <c r="X53" s="154"/>
      <c r="Y53" s="154"/>
      <c r="Z53" s="154"/>
    </row>
    <row r="54" ht="12.75" customHeight="1" outlineLevel="1">
      <c r="A54" s="146" t="s">
        <v>1293</v>
      </c>
      <c r="B54" s="152" t="s">
        <v>1294</v>
      </c>
      <c r="C54" s="151" t="s">
        <v>1295</v>
      </c>
      <c r="D54" s="151" t="s">
        <v>1296</v>
      </c>
      <c r="E54" s="151" t="s">
        <v>1297</v>
      </c>
      <c r="F54" s="146" t="s">
        <v>228</v>
      </c>
      <c r="G54" s="149">
        <v>45928.0</v>
      </c>
      <c r="H54" s="146" t="s">
        <v>259</v>
      </c>
      <c r="I54" s="146" t="s">
        <v>227</v>
      </c>
      <c r="J54" s="149">
        <v>45960.0</v>
      </c>
      <c r="K54" s="146" t="s">
        <v>258</v>
      </c>
      <c r="L54" s="146" t="s">
        <v>227</v>
      </c>
      <c r="M54" s="149">
        <v>45986.0</v>
      </c>
      <c r="N54" s="146" t="s">
        <v>259</v>
      </c>
      <c r="O54" s="153"/>
      <c r="P54" s="154"/>
      <c r="Q54" s="155"/>
      <c r="R54" s="154"/>
      <c r="S54" s="154"/>
      <c r="T54" s="154"/>
      <c r="U54" s="154"/>
      <c r="V54" s="154"/>
      <c r="W54" s="154"/>
      <c r="X54" s="154"/>
      <c r="Y54" s="154"/>
      <c r="Z54" s="154"/>
    </row>
    <row r="55" ht="12.75" customHeight="1" outlineLevel="1">
      <c r="A55" s="146" t="s">
        <v>1298</v>
      </c>
      <c r="B55" s="152" t="s">
        <v>1299</v>
      </c>
      <c r="C55" s="151" t="s">
        <v>1300</v>
      </c>
      <c r="D55" s="151" t="s">
        <v>1301</v>
      </c>
      <c r="E55" s="151" t="s">
        <v>1302</v>
      </c>
      <c r="F55" s="146" t="s">
        <v>228</v>
      </c>
      <c r="G55" s="149">
        <v>45928.0</v>
      </c>
      <c r="H55" s="146" t="s">
        <v>259</v>
      </c>
      <c r="I55" s="146" t="s">
        <v>227</v>
      </c>
      <c r="J55" s="149">
        <v>45960.0</v>
      </c>
      <c r="K55" s="146" t="s">
        <v>258</v>
      </c>
      <c r="L55" s="146" t="s">
        <v>227</v>
      </c>
      <c r="M55" s="149">
        <v>45986.0</v>
      </c>
      <c r="N55" s="146" t="s">
        <v>259</v>
      </c>
      <c r="O55" s="153"/>
      <c r="P55" s="154"/>
      <c r="Q55" s="155"/>
      <c r="R55" s="154"/>
      <c r="S55" s="154"/>
      <c r="T55" s="154"/>
      <c r="U55" s="154"/>
      <c r="V55" s="154"/>
      <c r="W55" s="154"/>
      <c r="X55" s="154"/>
      <c r="Y55" s="154"/>
      <c r="Z55" s="154"/>
    </row>
    <row r="56" ht="12.75" customHeight="1" outlineLevel="1">
      <c r="A56" s="146" t="s">
        <v>1303</v>
      </c>
      <c r="B56" s="152" t="s">
        <v>1304</v>
      </c>
      <c r="C56" s="151" t="s">
        <v>1305</v>
      </c>
      <c r="D56" s="151" t="s">
        <v>1306</v>
      </c>
      <c r="E56" s="151" t="s">
        <v>1307</v>
      </c>
      <c r="F56" s="146" t="s">
        <v>227</v>
      </c>
      <c r="G56" s="149">
        <v>45928.0</v>
      </c>
      <c r="H56" s="146" t="s">
        <v>259</v>
      </c>
      <c r="I56" s="146" t="s">
        <v>227</v>
      </c>
      <c r="J56" s="149">
        <v>45960.0</v>
      </c>
      <c r="K56" s="146" t="s">
        <v>258</v>
      </c>
      <c r="L56" s="146" t="s">
        <v>227</v>
      </c>
      <c r="M56" s="149">
        <v>45986.0</v>
      </c>
      <c r="N56" s="146" t="s">
        <v>259</v>
      </c>
      <c r="O56" s="153"/>
      <c r="P56" s="154"/>
      <c r="Q56" s="155"/>
      <c r="R56" s="154"/>
      <c r="S56" s="154"/>
      <c r="T56" s="154"/>
      <c r="U56" s="154"/>
      <c r="V56" s="154"/>
      <c r="W56" s="154"/>
      <c r="X56" s="154"/>
      <c r="Y56" s="154"/>
      <c r="Z56" s="154"/>
    </row>
    <row r="57" ht="12.75" customHeight="1" outlineLevel="1">
      <c r="A57" s="146" t="s">
        <v>1308</v>
      </c>
      <c r="B57" s="152" t="s">
        <v>1309</v>
      </c>
      <c r="C57" s="151" t="s">
        <v>1310</v>
      </c>
      <c r="D57" s="151" t="s">
        <v>1311</v>
      </c>
      <c r="E57" s="151" t="s">
        <v>1312</v>
      </c>
      <c r="F57" s="146" t="s">
        <v>228</v>
      </c>
      <c r="G57" s="149">
        <v>45928.0</v>
      </c>
      <c r="H57" s="146" t="s">
        <v>259</v>
      </c>
      <c r="I57" s="146" t="s">
        <v>227</v>
      </c>
      <c r="J57" s="149">
        <v>45960.0</v>
      </c>
      <c r="K57" s="146" t="s">
        <v>258</v>
      </c>
      <c r="L57" s="146" t="s">
        <v>227</v>
      </c>
      <c r="M57" s="149">
        <v>45986.0</v>
      </c>
      <c r="N57" s="146" t="s">
        <v>259</v>
      </c>
      <c r="O57" s="153"/>
      <c r="P57" s="154"/>
      <c r="Q57" s="155"/>
      <c r="R57" s="154"/>
      <c r="S57" s="154"/>
      <c r="T57" s="154"/>
      <c r="U57" s="154"/>
      <c r="V57" s="154"/>
      <c r="W57" s="154"/>
      <c r="X57" s="154"/>
      <c r="Y57" s="154"/>
      <c r="Z57" s="154"/>
    </row>
    <row r="58" ht="12.75" customHeight="1" outlineLevel="1">
      <c r="A58" s="146" t="s">
        <v>1313</v>
      </c>
      <c r="B58" s="152" t="s">
        <v>1314</v>
      </c>
      <c r="C58" s="151" t="s">
        <v>1315</v>
      </c>
      <c r="D58" s="151" t="s">
        <v>1316</v>
      </c>
      <c r="E58" s="151" t="s">
        <v>1317</v>
      </c>
      <c r="F58" s="146" t="s">
        <v>227</v>
      </c>
      <c r="G58" s="149">
        <v>45928.0</v>
      </c>
      <c r="H58" s="146" t="s">
        <v>259</v>
      </c>
      <c r="I58" s="146" t="s">
        <v>227</v>
      </c>
      <c r="J58" s="149">
        <v>45960.0</v>
      </c>
      <c r="K58" s="146" t="s">
        <v>258</v>
      </c>
      <c r="L58" s="146" t="s">
        <v>227</v>
      </c>
      <c r="M58" s="149">
        <v>45986.0</v>
      </c>
      <c r="N58" s="146" t="s">
        <v>259</v>
      </c>
      <c r="O58" s="153"/>
      <c r="P58" s="154"/>
      <c r="Q58" s="155"/>
      <c r="R58" s="154"/>
      <c r="S58" s="154"/>
      <c r="T58" s="154"/>
      <c r="U58" s="154"/>
      <c r="V58" s="154"/>
      <c r="W58" s="154"/>
      <c r="X58" s="154"/>
      <c r="Y58" s="154"/>
      <c r="Z58" s="154"/>
    </row>
    <row r="59" ht="15.75" customHeight="1">
      <c r="A59" s="144" t="s">
        <v>1318</v>
      </c>
      <c r="B59" s="145"/>
      <c r="C59" s="117"/>
      <c r="D59" s="117"/>
      <c r="E59" s="117"/>
      <c r="F59" s="145"/>
      <c r="G59" s="145"/>
      <c r="H59" s="145"/>
      <c r="I59" s="145"/>
      <c r="J59" s="145"/>
      <c r="K59" s="145"/>
      <c r="L59" s="145"/>
      <c r="M59" s="145"/>
      <c r="N59" s="145"/>
      <c r="O59" s="145"/>
      <c r="P59" s="118"/>
      <c r="Q59" s="119"/>
      <c r="R59" s="97"/>
      <c r="S59" s="97"/>
      <c r="T59" s="97"/>
      <c r="U59" s="97"/>
      <c r="V59" s="97"/>
      <c r="W59" s="97"/>
      <c r="X59" s="97"/>
      <c r="Y59" s="97"/>
      <c r="Z59" s="97"/>
    </row>
    <row r="60" ht="45.0" customHeight="1" outlineLevel="1">
      <c r="A60" s="146" t="s">
        <v>1319</v>
      </c>
      <c r="B60" s="152" t="s">
        <v>1320</v>
      </c>
      <c r="C60" s="151" t="s">
        <v>1321</v>
      </c>
      <c r="D60" s="151" t="s">
        <v>1322</v>
      </c>
      <c r="E60" s="151" t="s">
        <v>1323</v>
      </c>
      <c r="F60" s="146" t="s">
        <v>227</v>
      </c>
      <c r="G60" s="149">
        <v>45928.0</v>
      </c>
      <c r="H60" s="146" t="s">
        <v>259</v>
      </c>
      <c r="I60" s="146" t="s">
        <v>227</v>
      </c>
      <c r="J60" s="149">
        <v>45960.0</v>
      </c>
      <c r="K60" s="146" t="s">
        <v>258</v>
      </c>
      <c r="L60" s="146" t="s">
        <v>227</v>
      </c>
      <c r="M60" s="149">
        <v>45986.0</v>
      </c>
      <c r="N60" s="146" t="s">
        <v>259</v>
      </c>
      <c r="O60" s="153"/>
      <c r="P60" s="154"/>
      <c r="Q60" s="155"/>
      <c r="R60" s="154"/>
      <c r="S60" s="154"/>
      <c r="T60" s="154"/>
      <c r="U60" s="154"/>
      <c r="V60" s="154"/>
      <c r="W60" s="154"/>
      <c r="X60" s="154"/>
      <c r="Y60" s="154"/>
      <c r="Z60" s="154"/>
    </row>
    <row r="61" ht="38.25" customHeight="1" outlineLevel="1">
      <c r="A61" s="146" t="s">
        <v>1324</v>
      </c>
      <c r="B61" s="152" t="s">
        <v>1325</v>
      </c>
      <c r="C61" s="151" t="s">
        <v>1326</v>
      </c>
      <c r="D61" s="151" t="s">
        <v>1327</v>
      </c>
      <c r="E61" s="151" t="s">
        <v>1328</v>
      </c>
      <c r="F61" s="146" t="s">
        <v>227</v>
      </c>
      <c r="G61" s="149">
        <v>45928.0</v>
      </c>
      <c r="H61" s="146" t="s">
        <v>259</v>
      </c>
      <c r="I61" s="146" t="s">
        <v>227</v>
      </c>
      <c r="J61" s="149">
        <v>45960.0</v>
      </c>
      <c r="K61" s="146" t="s">
        <v>258</v>
      </c>
      <c r="L61" s="146" t="s">
        <v>227</v>
      </c>
      <c r="M61" s="149">
        <v>45986.0</v>
      </c>
      <c r="N61" s="146" t="s">
        <v>259</v>
      </c>
      <c r="O61" s="153"/>
      <c r="P61" s="154"/>
      <c r="Q61" s="155"/>
      <c r="R61" s="154"/>
      <c r="S61" s="154"/>
      <c r="T61" s="154"/>
      <c r="U61" s="154"/>
      <c r="V61" s="154"/>
      <c r="W61" s="154"/>
      <c r="X61" s="154"/>
      <c r="Y61" s="154"/>
      <c r="Z61" s="154"/>
    </row>
    <row r="62" ht="48.75" customHeight="1" outlineLevel="1">
      <c r="A62" s="146" t="s">
        <v>1329</v>
      </c>
      <c r="B62" s="152" t="s">
        <v>1330</v>
      </c>
      <c r="C62" s="151" t="s">
        <v>1331</v>
      </c>
      <c r="D62" s="151" t="s">
        <v>1332</v>
      </c>
      <c r="E62" s="151" t="s">
        <v>1333</v>
      </c>
      <c r="F62" s="146" t="s">
        <v>227</v>
      </c>
      <c r="G62" s="149">
        <v>45928.0</v>
      </c>
      <c r="H62" s="146" t="s">
        <v>259</v>
      </c>
      <c r="I62" s="146" t="s">
        <v>227</v>
      </c>
      <c r="J62" s="149">
        <v>45960.0</v>
      </c>
      <c r="K62" s="146" t="s">
        <v>258</v>
      </c>
      <c r="L62" s="146" t="s">
        <v>227</v>
      </c>
      <c r="M62" s="149">
        <v>45986.0</v>
      </c>
      <c r="N62" s="146" t="s">
        <v>259</v>
      </c>
      <c r="O62" s="153"/>
      <c r="P62" s="154"/>
      <c r="Q62" s="155"/>
      <c r="R62" s="154"/>
      <c r="S62" s="154"/>
      <c r="T62" s="154"/>
      <c r="U62" s="154"/>
      <c r="V62" s="154"/>
      <c r="W62" s="154"/>
      <c r="X62" s="154"/>
      <c r="Y62" s="154"/>
      <c r="Z62" s="154"/>
    </row>
    <row r="63" ht="44.25" customHeight="1" outlineLevel="1">
      <c r="A63" s="146" t="s">
        <v>1334</v>
      </c>
      <c r="B63" s="152" t="s">
        <v>1335</v>
      </c>
      <c r="C63" s="151" t="s">
        <v>1336</v>
      </c>
      <c r="D63" s="151" t="s">
        <v>1337</v>
      </c>
      <c r="E63" s="151" t="s">
        <v>1338</v>
      </c>
      <c r="F63" s="146" t="s">
        <v>227</v>
      </c>
      <c r="G63" s="149">
        <v>45928.0</v>
      </c>
      <c r="H63" s="146" t="s">
        <v>259</v>
      </c>
      <c r="I63" s="146" t="s">
        <v>227</v>
      </c>
      <c r="J63" s="149">
        <v>45960.0</v>
      </c>
      <c r="K63" s="146" t="s">
        <v>258</v>
      </c>
      <c r="L63" s="146" t="s">
        <v>227</v>
      </c>
      <c r="M63" s="149">
        <v>45986.0</v>
      </c>
      <c r="N63" s="146" t="s">
        <v>259</v>
      </c>
      <c r="O63" s="153"/>
      <c r="P63" s="154"/>
      <c r="Q63" s="155"/>
      <c r="R63" s="154"/>
      <c r="S63" s="154"/>
      <c r="T63" s="154"/>
      <c r="U63" s="154"/>
      <c r="V63" s="154"/>
      <c r="W63" s="154"/>
      <c r="X63" s="154"/>
      <c r="Y63" s="154"/>
      <c r="Z63" s="154"/>
    </row>
    <row r="64" ht="39.75" customHeight="1" outlineLevel="1">
      <c r="A64" s="146" t="s">
        <v>1339</v>
      </c>
      <c r="B64" s="152" t="s">
        <v>1340</v>
      </c>
      <c r="C64" s="151" t="s">
        <v>1341</v>
      </c>
      <c r="D64" s="151" t="s">
        <v>1342</v>
      </c>
      <c r="E64" s="151" t="s">
        <v>1343</v>
      </c>
      <c r="F64" s="146" t="s">
        <v>227</v>
      </c>
      <c r="G64" s="149">
        <v>45928.0</v>
      </c>
      <c r="H64" s="146" t="s">
        <v>259</v>
      </c>
      <c r="I64" s="146" t="s">
        <v>227</v>
      </c>
      <c r="J64" s="149">
        <v>45960.0</v>
      </c>
      <c r="K64" s="146" t="s">
        <v>258</v>
      </c>
      <c r="L64" s="146" t="s">
        <v>227</v>
      </c>
      <c r="M64" s="149">
        <v>45986.0</v>
      </c>
      <c r="N64" s="146" t="s">
        <v>259</v>
      </c>
      <c r="O64" s="153"/>
      <c r="P64" s="154"/>
      <c r="Q64" s="155"/>
      <c r="R64" s="154"/>
      <c r="S64" s="154"/>
      <c r="T64" s="154"/>
      <c r="U64" s="154"/>
      <c r="V64" s="154"/>
      <c r="W64" s="154"/>
      <c r="X64" s="154"/>
      <c r="Y64" s="154"/>
      <c r="Z64" s="154"/>
    </row>
    <row r="65" ht="42.0" customHeight="1" outlineLevel="1">
      <c r="A65" s="146" t="s">
        <v>1344</v>
      </c>
      <c r="B65" s="152" t="s">
        <v>1345</v>
      </c>
      <c r="C65" s="151" t="s">
        <v>1346</v>
      </c>
      <c r="D65" s="151" t="s">
        <v>1347</v>
      </c>
      <c r="E65" s="151" t="s">
        <v>1348</v>
      </c>
      <c r="F65" s="146" t="s">
        <v>227</v>
      </c>
      <c r="G65" s="149">
        <v>45928.0</v>
      </c>
      <c r="H65" s="146" t="s">
        <v>259</v>
      </c>
      <c r="I65" s="146" t="s">
        <v>227</v>
      </c>
      <c r="J65" s="149">
        <v>45960.0</v>
      </c>
      <c r="K65" s="146" t="s">
        <v>258</v>
      </c>
      <c r="L65" s="146" t="s">
        <v>227</v>
      </c>
      <c r="M65" s="149">
        <v>45986.0</v>
      </c>
      <c r="N65" s="146" t="s">
        <v>259</v>
      </c>
      <c r="O65" s="153"/>
      <c r="P65" s="154"/>
      <c r="Q65" s="155"/>
      <c r="R65" s="154"/>
      <c r="S65" s="154"/>
      <c r="T65" s="154"/>
      <c r="U65" s="154"/>
      <c r="V65" s="154"/>
      <c r="W65" s="154"/>
      <c r="X65" s="154"/>
      <c r="Y65" s="154"/>
      <c r="Z65" s="154"/>
    </row>
    <row r="66" ht="48.0" customHeight="1" outlineLevel="1">
      <c r="A66" s="146" t="s">
        <v>1349</v>
      </c>
      <c r="B66" s="152" t="s">
        <v>1350</v>
      </c>
      <c r="C66" s="151" t="s">
        <v>1351</v>
      </c>
      <c r="D66" s="151" t="s">
        <v>1352</v>
      </c>
      <c r="E66" s="151" t="s">
        <v>1353</v>
      </c>
      <c r="F66" s="146" t="s">
        <v>228</v>
      </c>
      <c r="G66" s="149">
        <v>45928.0</v>
      </c>
      <c r="H66" s="146" t="s">
        <v>259</v>
      </c>
      <c r="I66" s="146" t="s">
        <v>227</v>
      </c>
      <c r="J66" s="149">
        <v>45960.0</v>
      </c>
      <c r="K66" s="146" t="s">
        <v>258</v>
      </c>
      <c r="L66" s="146" t="s">
        <v>227</v>
      </c>
      <c r="M66" s="149">
        <v>45986.0</v>
      </c>
      <c r="N66" s="146" t="s">
        <v>259</v>
      </c>
      <c r="O66" s="153"/>
      <c r="P66" s="154"/>
      <c r="Q66" s="155"/>
      <c r="R66" s="154"/>
      <c r="S66" s="154"/>
      <c r="T66" s="154"/>
      <c r="U66" s="154"/>
      <c r="V66" s="154"/>
      <c r="W66" s="154"/>
      <c r="X66" s="154"/>
      <c r="Y66" s="154"/>
      <c r="Z66" s="154"/>
    </row>
    <row r="67" ht="48.75" customHeight="1" outlineLevel="1">
      <c r="A67" s="146" t="s">
        <v>1354</v>
      </c>
      <c r="B67" s="152" t="s">
        <v>1355</v>
      </c>
      <c r="C67" s="151" t="s">
        <v>1356</v>
      </c>
      <c r="D67" s="151" t="s">
        <v>1357</v>
      </c>
      <c r="E67" s="151" t="s">
        <v>1358</v>
      </c>
      <c r="F67" s="146" t="s">
        <v>228</v>
      </c>
      <c r="G67" s="149">
        <v>45928.0</v>
      </c>
      <c r="H67" s="146" t="s">
        <v>259</v>
      </c>
      <c r="I67" s="146" t="s">
        <v>227</v>
      </c>
      <c r="J67" s="149">
        <v>45960.0</v>
      </c>
      <c r="K67" s="146" t="s">
        <v>258</v>
      </c>
      <c r="L67" s="146" t="s">
        <v>227</v>
      </c>
      <c r="M67" s="149">
        <v>45986.0</v>
      </c>
      <c r="N67" s="146" t="s">
        <v>259</v>
      </c>
      <c r="O67" s="153"/>
      <c r="P67" s="154"/>
      <c r="Q67" s="155"/>
      <c r="R67" s="154"/>
      <c r="S67" s="154"/>
      <c r="T67" s="154"/>
      <c r="U67" s="154"/>
      <c r="V67" s="154"/>
      <c r="W67" s="154"/>
      <c r="X67" s="154"/>
      <c r="Y67" s="154"/>
      <c r="Z67" s="154"/>
    </row>
    <row r="68" ht="40.5" customHeight="1" outlineLevel="1">
      <c r="A68" s="146" t="s">
        <v>1359</v>
      </c>
      <c r="B68" s="152" t="s">
        <v>1360</v>
      </c>
      <c r="C68" s="151" t="s">
        <v>1361</v>
      </c>
      <c r="D68" s="151" t="s">
        <v>1362</v>
      </c>
      <c r="E68" s="151" t="s">
        <v>1363</v>
      </c>
      <c r="F68" s="146" t="s">
        <v>228</v>
      </c>
      <c r="G68" s="149">
        <v>45928.0</v>
      </c>
      <c r="H68" s="146" t="s">
        <v>259</v>
      </c>
      <c r="I68" s="146" t="s">
        <v>227</v>
      </c>
      <c r="J68" s="149">
        <v>45960.0</v>
      </c>
      <c r="K68" s="146" t="s">
        <v>258</v>
      </c>
      <c r="L68" s="146" t="s">
        <v>227</v>
      </c>
      <c r="M68" s="149">
        <v>45986.0</v>
      </c>
      <c r="N68" s="146" t="s">
        <v>259</v>
      </c>
      <c r="O68" s="153"/>
      <c r="P68" s="154"/>
      <c r="Q68" s="155"/>
      <c r="R68" s="154"/>
      <c r="S68" s="154"/>
      <c r="T68" s="154"/>
      <c r="U68" s="154"/>
      <c r="V68" s="154"/>
      <c r="W68" s="154"/>
      <c r="X68" s="154"/>
      <c r="Y68" s="154"/>
      <c r="Z68" s="154"/>
    </row>
    <row r="69" ht="41.25" customHeight="1" outlineLevel="1">
      <c r="A69" s="146" t="s">
        <v>1364</v>
      </c>
      <c r="B69" s="152" t="s">
        <v>1365</v>
      </c>
      <c r="C69" s="151" t="s">
        <v>1366</v>
      </c>
      <c r="D69" s="151" t="s">
        <v>1367</v>
      </c>
      <c r="E69" s="151" t="s">
        <v>1292</v>
      </c>
      <c r="F69" s="146" t="s">
        <v>227</v>
      </c>
      <c r="G69" s="149">
        <v>45928.0</v>
      </c>
      <c r="H69" s="146" t="s">
        <v>259</v>
      </c>
      <c r="I69" s="146" t="s">
        <v>227</v>
      </c>
      <c r="J69" s="149">
        <v>45960.0</v>
      </c>
      <c r="K69" s="146" t="s">
        <v>258</v>
      </c>
      <c r="L69" s="146" t="s">
        <v>227</v>
      </c>
      <c r="M69" s="149">
        <v>45986.0</v>
      </c>
      <c r="N69" s="146" t="s">
        <v>259</v>
      </c>
      <c r="O69" s="153"/>
      <c r="P69" s="154"/>
      <c r="Q69" s="155"/>
      <c r="R69" s="154"/>
      <c r="S69" s="154"/>
      <c r="T69" s="154"/>
      <c r="U69" s="154"/>
      <c r="V69" s="154"/>
      <c r="W69" s="154"/>
      <c r="X69" s="154"/>
      <c r="Y69" s="154"/>
      <c r="Z69" s="154"/>
    </row>
    <row r="70" ht="49.5" customHeight="1" outlineLevel="1">
      <c r="A70" s="146" t="s">
        <v>1368</v>
      </c>
      <c r="B70" s="152" t="s">
        <v>1369</v>
      </c>
      <c r="C70" s="151" t="s">
        <v>1370</v>
      </c>
      <c r="D70" s="151" t="s">
        <v>1371</v>
      </c>
      <c r="E70" s="151" t="s">
        <v>1372</v>
      </c>
      <c r="F70" s="146" t="s">
        <v>227</v>
      </c>
      <c r="G70" s="149">
        <v>45928.0</v>
      </c>
      <c r="H70" s="146" t="s">
        <v>259</v>
      </c>
      <c r="I70" s="146" t="s">
        <v>227</v>
      </c>
      <c r="J70" s="149">
        <v>45960.0</v>
      </c>
      <c r="K70" s="146" t="s">
        <v>258</v>
      </c>
      <c r="L70" s="146" t="s">
        <v>227</v>
      </c>
      <c r="M70" s="149">
        <v>45986.0</v>
      </c>
      <c r="N70" s="146" t="s">
        <v>259</v>
      </c>
      <c r="O70" s="153"/>
      <c r="P70" s="154"/>
      <c r="Q70" s="155"/>
      <c r="R70" s="154"/>
      <c r="S70" s="154"/>
      <c r="T70" s="154"/>
      <c r="U70" s="154"/>
      <c r="V70" s="154"/>
      <c r="W70" s="154"/>
      <c r="X70" s="154"/>
      <c r="Y70" s="154"/>
      <c r="Z70" s="154"/>
    </row>
    <row r="71" ht="43.5" customHeight="1" outlineLevel="1">
      <c r="A71" s="146" t="s">
        <v>1373</v>
      </c>
      <c r="B71" s="152" t="s">
        <v>1374</v>
      </c>
      <c r="C71" s="151" t="s">
        <v>1375</v>
      </c>
      <c r="D71" s="151" t="s">
        <v>1376</v>
      </c>
      <c r="E71" s="151" t="s">
        <v>1307</v>
      </c>
      <c r="F71" s="146" t="s">
        <v>227</v>
      </c>
      <c r="G71" s="149">
        <v>45928.0</v>
      </c>
      <c r="H71" s="146" t="s">
        <v>259</v>
      </c>
      <c r="I71" s="146" t="s">
        <v>227</v>
      </c>
      <c r="J71" s="149">
        <v>45960.0</v>
      </c>
      <c r="K71" s="146" t="s">
        <v>258</v>
      </c>
      <c r="L71" s="146" t="s">
        <v>227</v>
      </c>
      <c r="M71" s="149">
        <v>45986.0</v>
      </c>
      <c r="N71" s="146" t="s">
        <v>259</v>
      </c>
      <c r="O71" s="153"/>
      <c r="P71" s="154"/>
      <c r="Q71" s="155"/>
      <c r="R71" s="154"/>
      <c r="S71" s="154"/>
      <c r="T71" s="154"/>
      <c r="U71" s="154"/>
      <c r="V71" s="154"/>
      <c r="W71" s="154"/>
      <c r="X71" s="154"/>
      <c r="Y71" s="154"/>
      <c r="Z71" s="154"/>
    </row>
    <row r="72" ht="42.0" customHeight="1" outlineLevel="1">
      <c r="A72" s="146" t="s">
        <v>1377</v>
      </c>
      <c r="B72" s="152" t="s">
        <v>1378</v>
      </c>
      <c r="C72" s="151" t="s">
        <v>1379</v>
      </c>
      <c r="D72" s="151" t="s">
        <v>1380</v>
      </c>
      <c r="E72" s="151" t="s">
        <v>1381</v>
      </c>
      <c r="F72" s="146" t="s">
        <v>227</v>
      </c>
      <c r="G72" s="149">
        <v>45928.0</v>
      </c>
      <c r="H72" s="146" t="s">
        <v>259</v>
      </c>
      <c r="I72" s="146" t="s">
        <v>227</v>
      </c>
      <c r="J72" s="149">
        <v>45960.0</v>
      </c>
      <c r="K72" s="146" t="s">
        <v>258</v>
      </c>
      <c r="L72" s="146" t="s">
        <v>227</v>
      </c>
      <c r="M72" s="149">
        <v>45986.0</v>
      </c>
      <c r="N72" s="146" t="s">
        <v>259</v>
      </c>
      <c r="O72" s="153"/>
      <c r="P72" s="154"/>
      <c r="Q72" s="155"/>
      <c r="R72" s="154"/>
      <c r="S72" s="154"/>
      <c r="T72" s="154"/>
      <c r="U72" s="154"/>
      <c r="V72" s="154"/>
      <c r="W72" s="154"/>
      <c r="X72" s="154"/>
      <c r="Y72" s="154"/>
      <c r="Z72" s="154"/>
    </row>
    <row r="73" ht="44.25" customHeight="1" outlineLevel="1">
      <c r="A73" s="146" t="s">
        <v>1382</v>
      </c>
      <c r="B73" s="152" t="s">
        <v>1383</v>
      </c>
      <c r="C73" s="151" t="s">
        <v>1384</v>
      </c>
      <c r="D73" s="151" t="s">
        <v>1385</v>
      </c>
      <c r="E73" s="151" t="s">
        <v>1386</v>
      </c>
      <c r="F73" s="146" t="s">
        <v>227</v>
      </c>
      <c r="G73" s="149">
        <v>45928.0</v>
      </c>
      <c r="H73" s="146" t="s">
        <v>259</v>
      </c>
      <c r="I73" s="146" t="s">
        <v>227</v>
      </c>
      <c r="J73" s="149">
        <v>45960.0</v>
      </c>
      <c r="K73" s="146" t="s">
        <v>258</v>
      </c>
      <c r="L73" s="146" t="s">
        <v>227</v>
      </c>
      <c r="M73" s="149">
        <v>45986.0</v>
      </c>
      <c r="N73" s="146" t="s">
        <v>259</v>
      </c>
      <c r="O73" s="153"/>
      <c r="P73" s="154"/>
      <c r="Q73" s="155"/>
      <c r="R73" s="154"/>
      <c r="S73" s="154"/>
      <c r="T73" s="154"/>
      <c r="U73" s="154"/>
      <c r="V73" s="154"/>
      <c r="W73" s="154"/>
      <c r="X73" s="154"/>
      <c r="Y73" s="154"/>
      <c r="Z73" s="154"/>
    </row>
    <row r="74" ht="36.75" customHeight="1" outlineLevel="1">
      <c r="A74" s="146" t="s">
        <v>1387</v>
      </c>
      <c r="B74" s="152" t="s">
        <v>1388</v>
      </c>
      <c r="C74" s="151" t="s">
        <v>1389</v>
      </c>
      <c r="D74" s="151" t="s">
        <v>1390</v>
      </c>
      <c r="E74" s="151" t="s">
        <v>1391</v>
      </c>
      <c r="F74" s="146" t="s">
        <v>228</v>
      </c>
      <c r="G74" s="149">
        <v>45928.0</v>
      </c>
      <c r="H74" s="146" t="s">
        <v>259</v>
      </c>
      <c r="I74" s="146" t="s">
        <v>227</v>
      </c>
      <c r="J74" s="149">
        <v>45960.0</v>
      </c>
      <c r="K74" s="146" t="s">
        <v>258</v>
      </c>
      <c r="L74" s="146" t="s">
        <v>227</v>
      </c>
      <c r="M74" s="149">
        <v>45986.0</v>
      </c>
      <c r="N74" s="146" t="s">
        <v>259</v>
      </c>
      <c r="O74" s="153"/>
      <c r="P74" s="154"/>
      <c r="Q74" s="155"/>
      <c r="R74" s="154"/>
      <c r="S74" s="154"/>
      <c r="T74" s="154"/>
      <c r="U74" s="154"/>
      <c r="V74" s="154"/>
      <c r="W74" s="154"/>
      <c r="X74" s="154"/>
      <c r="Y74" s="154"/>
      <c r="Z74" s="154"/>
    </row>
    <row r="75" ht="45.0" customHeight="1" outlineLevel="1">
      <c r="A75" s="146" t="s">
        <v>1392</v>
      </c>
      <c r="B75" s="152" t="s">
        <v>1393</v>
      </c>
      <c r="C75" s="151" t="s">
        <v>1394</v>
      </c>
      <c r="D75" s="151" t="s">
        <v>1395</v>
      </c>
      <c r="E75" s="151" t="s">
        <v>1396</v>
      </c>
      <c r="F75" s="146" t="s">
        <v>227</v>
      </c>
      <c r="G75" s="149">
        <v>45928.0</v>
      </c>
      <c r="H75" s="146" t="s">
        <v>259</v>
      </c>
      <c r="I75" s="146" t="s">
        <v>227</v>
      </c>
      <c r="J75" s="149">
        <v>45960.0</v>
      </c>
      <c r="K75" s="146" t="s">
        <v>258</v>
      </c>
      <c r="L75" s="146" t="s">
        <v>227</v>
      </c>
      <c r="M75" s="149">
        <v>45986.0</v>
      </c>
      <c r="N75" s="146" t="s">
        <v>259</v>
      </c>
      <c r="O75" s="153"/>
      <c r="P75" s="154"/>
      <c r="Q75" s="155"/>
      <c r="R75" s="154"/>
      <c r="S75" s="154"/>
      <c r="T75" s="154"/>
      <c r="U75" s="154"/>
      <c r="V75" s="154"/>
      <c r="W75" s="154"/>
      <c r="X75" s="154"/>
      <c r="Y75" s="154"/>
      <c r="Z75" s="154"/>
    </row>
    <row r="76" ht="41.25" customHeight="1" outlineLevel="1">
      <c r="A76" s="146" t="s">
        <v>1397</v>
      </c>
      <c r="B76" s="152" t="s">
        <v>1398</v>
      </c>
      <c r="C76" s="151" t="s">
        <v>1399</v>
      </c>
      <c r="D76" s="151" t="s">
        <v>1400</v>
      </c>
      <c r="E76" s="151" t="s">
        <v>1401</v>
      </c>
      <c r="F76" s="146" t="s">
        <v>227</v>
      </c>
      <c r="G76" s="149">
        <v>45928.0</v>
      </c>
      <c r="H76" s="146" t="s">
        <v>259</v>
      </c>
      <c r="I76" s="146" t="s">
        <v>227</v>
      </c>
      <c r="J76" s="149">
        <v>45960.0</v>
      </c>
      <c r="K76" s="146" t="s">
        <v>258</v>
      </c>
      <c r="L76" s="146" t="s">
        <v>227</v>
      </c>
      <c r="M76" s="149">
        <v>45986.0</v>
      </c>
      <c r="N76" s="146" t="s">
        <v>259</v>
      </c>
      <c r="O76" s="153"/>
      <c r="P76" s="154"/>
      <c r="Q76" s="155"/>
      <c r="R76" s="154"/>
      <c r="S76" s="154"/>
      <c r="T76" s="154"/>
      <c r="U76" s="154"/>
      <c r="V76" s="154"/>
      <c r="W76" s="154"/>
      <c r="X76" s="154"/>
      <c r="Y76" s="154"/>
      <c r="Z76" s="154"/>
    </row>
    <row r="77" ht="39.75" customHeight="1" outlineLevel="1">
      <c r="A77" s="146" t="s">
        <v>1402</v>
      </c>
      <c r="B77" s="152" t="s">
        <v>1403</v>
      </c>
      <c r="C77" s="151" t="s">
        <v>1404</v>
      </c>
      <c r="D77" s="151" t="s">
        <v>1405</v>
      </c>
      <c r="E77" s="151" t="s">
        <v>1230</v>
      </c>
      <c r="F77" s="146" t="s">
        <v>227</v>
      </c>
      <c r="G77" s="149">
        <v>45928.0</v>
      </c>
      <c r="H77" s="146" t="s">
        <v>259</v>
      </c>
      <c r="I77" s="146" t="s">
        <v>227</v>
      </c>
      <c r="J77" s="149">
        <v>45960.0</v>
      </c>
      <c r="K77" s="146" t="s">
        <v>258</v>
      </c>
      <c r="L77" s="146" t="s">
        <v>227</v>
      </c>
      <c r="M77" s="149">
        <v>45986.0</v>
      </c>
      <c r="N77" s="146" t="s">
        <v>259</v>
      </c>
      <c r="O77" s="153"/>
      <c r="P77" s="154"/>
      <c r="Q77" s="155"/>
      <c r="R77" s="154"/>
      <c r="S77" s="154"/>
      <c r="T77" s="154"/>
      <c r="U77" s="154"/>
      <c r="V77" s="154"/>
      <c r="W77" s="154"/>
      <c r="X77" s="154"/>
      <c r="Y77" s="154"/>
      <c r="Z77" s="154"/>
    </row>
    <row r="78" ht="41.25" customHeight="1" outlineLevel="1">
      <c r="A78" s="146" t="s">
        <v>1406</v>
      </c>
      <c r="B78" s="152" t="s">
        <v>1407</v>
      </c>
      <c r="C78" s="151" t="s">
        <v>1408</v>
      </c>
      <c r="D78" s="151" t="s">
        <v>1409</v>
      </c>
      <c r="E78" s="151" t="s">
        <v>1297</v>
      </c>
      <c r="F78" s="146" t="s">
        <v>228</v>
      </c>
      <c r="G78" s="149">
        <v>45928.0</v>
      </c>
      <c r="H78" s="146" t="s">
        <v>259</v>
      </c>
      <c r="I78" s="146" t="s">
        <v>227</v>
      </c>
      <c r="J78" s="149">
        <v>45960.0</v>
      </c>
      <c r="K78" s="146" t="s">
        <v>258</v>
      </c>
      <c r="L78" s="146" t="s">
        <v>227</v>
      </c>
      <c r="M78" s="149">
        <v>45986.0</v>
      </c>
      <c r="N78" s="146" t="s">
        <v>259</v>
      </c>
      <c r="O78" s="153"/>
      <c r="P78" s="154"/>
      <c r="Q78" s="155"/>
      <c r="R78" s="154"/>
      <c r="S78" s="154"/>
      <c r="T78" s="154"/>
      <c r="U78" s="154"/>
      <c r="V78" s="154"/>
      <c r="W78" s="154"/>
      <c r="X78" s="154"/>
      <c r="Y78" s="154"/>
      <c r="Z78" s="154"/>
    </row>
    <row r="79" ht="39.75" customHeight="1" outlineLevel="1">
      <c r="A79" s="146" t="s">
        <v>1410</v>
      </c>
      <c r="B79" s="152" t="s">
        <v>1411</v>
      </c>
      <c r="C79" s="151" t="s">
        <v>1412</v>
      </c>
      <c r="D79" s="151" t="s">
        <v>1413</v>
      </c>
      <c r="E79" s="151" t="s">
        <v>1414</v>
      </c>
      <c r="F79" s="146" t="s">
        <v>227</v>
      </c>
      <c r="G79" s="149">
        <v>45928.0</v>
      </c>
      <c r="H79" s="146" t="s">
        <v>259</v>
      </c>
      <c r="I79" s="146" t="s">
        <v>227</v>
      </c>
      <c r="J79" s="149">
        <v>45960.0</v>
      </c>
      <c r="K79" s="146" t="s">
        <v>258</v>
      </c>
      <c r="L79" s="146" t="s">
        <v>227</v>
      </c>
      <c r="M79" s="149">
        <v>45986.0</v>
      </c>
      <c r="N79" s="146" t="s">
        <v>259</v>
      </c>
      <c r="O79" s="153"/>
      <c r="P79" s="154"/>
      <c r="Q79" s="155"/>
      <c r="R79" s="154"/>
      <c r="S79" s="154"/>
      <c r="T79" s="154"/>
      <c r="U79" s="154"/>
      <c r="V79" s="154"/>
      <c r="W79" s="154"/>
      <c r="X79" s="154"/>
      <c r="Y79" s="154"/>
      <c r="Z79" s="154"/>
    </row>
    <row r="80" ht="15.75" customHeight="1">
      <c r="A80" s="144" t="s">
        <v>1415</v>
      </c>
      <c r="B80" s="145"/>
      <c r="C80" s="117"/>
      <c r="D80" s="117"/>
      <c r="E80" s="117"/>
      <c r="F80" s="145"/>
      <c r="G80" s="145"/>
      <c r="H80" s="145"/>
      <c r="I80" s="145"/>
      <c r="J80" s="145"/>
      <c r="K80" s="145"/>
      <c r="L80" s="145"/>
      <c r="M80" s="145"/>
      <c r="N80" s="145"/>
      <c r="O80" s="145"/>
      <c r="P80" s="118"/>
      <c r="Q80" s="119"/>
      <c r="R80" s="97"/>
      <c r="S80" s="97"/>
      <c r="T80" s="97"/>
      <c r="U80" s="97"/>
      <c r="V80" s="97"/>
      <c r="W80" s="97"/>
      <c r="X80" s="97"/>
      <c r="Y80" s="97"/>
      <c r="Z80" s="97"/>
    </row>
    <row r="81" ht="54.75" customHeight="1" outlineLevel="1">
      <c r="A81" s="146" t="s">
        <v>1416</v>
      </c>
      <c r="B81" s="152" t="s">
        <v>1417</v>
      </c>
      <c r="C81" s="151" t="s">
        <v>1418</v>
      </c>
      <c r="D81" s="151" t="s">
        <v>1419</v>
      </c>
      <c r="E81" s="151" t="s">
        <v>1184</v>
      </c>
      <c r="F81" s="146" t="s">
        <v>227</v>
      </c>
      <c r="G81" s="149">
        <v>45928.0</v>
      </c>
      <c r="H81" s="146" t="s">
        <v>259</v>
      </c>
      <c r="I81" s="146" t="s">
        <v>227</v>
      </c>
      <c r="J81" s="149">
        <v>45960.0</v>
      </c>
      <c r="K81" s="146" t="s">
        <v>258</v>
      </c>
      <c r="L81" s="146" t="s">
        <v>227</v>
      </c>
      <c r="M81" s="149">
        <v>45986.0</v>
      </c>
      <c r="N81" s="146" t="s">
        <v>259</v>
      </c>
      <c r="O81" s="153"/>
      <c r="P81" s="154"/>
      <c r="Q81" s="155"/>
      <c r="R81" s="154"/>
      <c r="S81" s="154"/>
      <c r="T81" s="154"/>
      <c r="U81" s="154"/>
      <c r="V81" s="154"/>
      <c r="W81" s="154"/>
      <c r="X81" s="154"/>
      <c r="Y81" s="154"/>
      <c r="Z81" s="154"/>
    </row>
    <row r="82" ht="49.5" customHeight="1" outlineLevel="1">
      <c r="A82" s="146" t="s">
        <v>1420</v>
      </c>
      <c r="B82" s="152" t="s">
        <v>1421</v>
      </c>
      <c r="C82" s="151" t="s">
        <v>1422</v>
      </c>
      <c r="D82" s="151" t="s">
        <v>1423</v>
      </c>
      <c r="E82" s="151" t="s">
        <v>1424</v>
      </c>
      <c r="F82" s="146" t="s">
        <v>227</v>
      </c>
      <c r="G82" s="149">
        <v>45928.0</v>
      </c>
      <c r="H82" s="146" t="s">
        <v>259</v>
      </c>
      <c r="I82" s="146" t="s">
        <v>227</v>
      </c>
      <c r="J82" s="149">
        <v>45960.0</v>
      </c>
      <c r="K82" s="146" t="s">
        <v>258</v>
      </c>
      <c r="L82" s="146" t="s">
        <v>227</v>
      </c>
      <c r="M82" s="149">
        <v>45986.0</v>
      </c>
      <c r="N82" s="146" t="s">
        <v>259</v>
      </c>
      <c r="O82" s="153"/>
      <c r="P82" s="154"/>
      <c r="Q82" s="155"/>
      <c r="R82" s="154"/>
      <c r="S82" s="154"/>
      <c r="T82" s="154"/>
      <c r="U82" s="154"/>
      <c r="V82" s="154"/>
      <c r="W82" s="154"/>
      <c r="X82" s="154"/>
      <c r="Y82" s="154"/>
      <c r="Z82" s="154"/>
    </row>
    <row r="83" ht="53.25" customHeight="1" outlineLevel="1">
      <c r="A83" s="146" t="s">
        <v>1425</v>
      </c>
      <c r="B83" s="152" t="s">
        <v>1426</v>
      </c>
      <c r="C83" s="151" t="s">
        <v>1427</v>
      </c>
      <c r="D83" s="151" t="s">
        <v>1428</v>
      </c>
      <c r="E83" s="151" t="s">
        <v>1207</v>
      </c>
      <c r="F83" s="146" t="s">
        <v>227</v>
      </c>
      <c r="G83" s="149">
        <v>45928.0</v>
      </c>
      <c r="H83" s="146" t="s">
        <v>259</v>
      </c>
      <c r="I83" s="146" t="s">
        <v>227</v>
      </c>
      <c r="J83" s="149">
        <v>45960.0</v>
      </c>
      <c r="K83" s="146" t="s">
        <v>258</v>
      </c>
      <c r="L83" s="146" t="s">
        <v>227</v>
      </c>
      <c r="M83" s="149">
        <v>45986.0</v>
      </c>
      <c r="N83" s="146" t="s">
        <v>259</v>
      </c>
      <c r="O83" s="153"/>
      <c r="P83" s="154"/>
      <c r="Q83" s="155"/>
      <c r="R83" s="154"/>
      <c r="S83" s="154"/>
      <c r="T83" s="154"/>
      <c r="U83" s="154"/>
      <c r="V83" s="154"/>
      <c r="W83" s="154"/>
      <c r="X83" s="154"/>
      <c r="Y83" s="154"/>
      <c r="Z83" s="154"/>
    </row>
    <row r="84" ht="61.5" customHeight="1" outlineLevel="1">
      <c r="A84" s="146" t="s">
        <v>1429</v>
      </c>
      <c r="B84" s="152" t="s">
        <v>1430</v>
      </c>
      <c r="C84" s="151" t="s">
        <v>1431</v>
      </c>
      <c r="D84" s="151" t="s">
        <v>1432</v>
      </c>
      <c r="E84" s="151" t="s">
        <v>1207</v>
      </c>
      <c r="F84" s="146" t="s">
        <v>227</v>
      </c>
      <c r="G84" s="149">
        <v>45928.0</v>
      </c>
      <c r="H84" s="146" t="s">
        <v>259</v>
      </c>
      <c r="I84" s="146" t="s">
        <v>227</v>
      </c>
      <c r="J84" s="149">
        <v>45960.0</v>
      </c>
      <c r="K84" s="146" t="s">
        <v>258</v>
      </c>
      <c r="L84" s="146" t="s">
        <v>227</v>
      </c>
      <c r="M84" s="149">
        <v>45986.0</v>
      </c>
      <c r="N84" s="146" t="s">
        <v>259</v>
      </c>
      <c r="O84" s="153"/>
      <c r="P84" s="154"/>
      <c r="Q84" s="155"/>
      <c r="R84" s="154"/>
      <c r="S84" s="154"/>
      <c r="T84" s="154"/>
      <c r="U84" s="154"/>
      <c r="V84" s="154"/>
      <c r="W84" s="154"/>
      <c r="X84" s="154"/>
      <c r="Y84" s="154"/>
      <c r="Z84" s="154"/>
    </row>
    <row r="85" ht="62.25" customHeight="1" outlineLevel="1">
      <c r="A85" s="146" t="s">
        <v>1433</v>
      </c>
      <c r="B85" s="152" t="s">
        <v>1434</v>
      </c>
      <c r="C85" s="151" t="s">
        <v>1435</v>
      </c>
      <c r="D85" s="151" t="s">
        <v>1436</v>
      </c>
      <c r="E85" s="151" t="s">
        <v>1207</v>
      </c>
      <c r="F85" s="146" t="s">
        <v>227</v>
      </c>
      <c r="G85" s="149">
        <v>45928.0</v>
      </c>
      <c r="H85" s="146" t="s">
        <v>259</v>
      </c>
      <c r="I85" s="146" t="s">
        <v>227</v>
      </c>
      <c r="J85" s="149">
        <v>45960.0</v>
      </c>
      <c r="K85" s="146" t="s">
        <v>258</v>
      </c>
      <c r="L85" s="146" t="s">
        <v>227</v>
      </c>
      <c r="M85" s="149">
        <v>45986.0</v>
      </c>
      <c r="N85" s="146" t="s">
        <v>259</v>
      </c>
      <c r="O85" s="153"/>
      <c r="P85" s="154"/>
      <c r="Q85" s="155"/>
      <c r="R85" s="154"/>
      <c r="S85" s="154"/>
      <c r="T85" s="154"/>
      <c r="U85" s="154"/>
      <c r="V85" s="154"/>
      <c r="W85" s="154"/>
      <c r="X85" s="154"/>
      <c r="Y85" s="154"/>
      <c r="Z85" s="154"/>
    </row>
    <row r="86" ht="57.75" customHeight="1" outlineLevel="1">
      <c r="A86" s="146" t="s">
        <v>1437</v>
      </c>
      <c r="B86" s="152" t="s">
        <v>1438</v>
      </c>
      <c r="C86" s="151" t="s">
        <v>1439</v>
      </c>
      <c r="D86" s="151" t="s">
        <v>1440</v>
      </c>
      <c r="E86" s="151" t="s">
        <v>1372</v>
      </c>
      <c r="F86" s="146" t="s">
        <v>227</v>
      </c>
      <c r="G86" s="149">
        <v>45928.0</v>
      </c>
      <c r="H86" s="146" t="s">
        <v>259</v>
      </c>
      <c r="I86" s="146" t="s">
        <v>227</v>
      </c>
      <c r="J86" s="149">
        <v>45960.0</v>
      </c>
      <c r="K86" s="146" t="s">
        <v>258</v>
      </c>
      <c r="L86" s="146" t="s">
        <v>227</v>
      </c>
      <c r="M86" s="149">
        <v>45986.0</v>
      </c>
      <c r="N86" s="146" t="s">
        <v>259</v>
      </c>
      <c r="O86" s="153"/>
      <c r="P86" s="154"/>
      <c r="Q86" s="155"/>
      <c r="R86" s="154"/>
      <c r="S86" s="154"/>
      <c r="T86" s="154"/>
      <c r="U86" s="154"/>
      <c r="V86" s="154"/>
      <c r="W86" s="154"/>
      <c r="X86" s="154"/>
      <c r="Y86" s="154"/>
      <c r="Z86" s="154"/>
    </row>
    <row r="87" ht="55.5" customHeight="1" outlineLevel="1">
      <c r="A87" s="146" t="s">
        <v>1441</v>
      </c>
      <c r="B87" s="152" t="s">
        <v>1442</v>
      </c>
      <c r="C87" s="151" t="s">
        <v>1443</v>
      </c>
      <c r="D87" s="151" t="s">
        <v>1444</v>
      </c>
      <c r="E87" s="151" t="s">
        <v>1184</v>
      </c>
      <c r="F87" s="146" t="s">
        <v>227</v>
      </c>
      <c r="G87" s="149">
        <v>45928.0</v>
      </c>
      <c r="H87" s="146" t="s">
        <v>259</v>
      </c>
      <c r="I87" s="146" t="s">
        <v>227</v>
      </c>
      <c r="J87" s="149">
        <v>45960.0</v>
      </c>
      <c r="K87" s="146" t="s">
        <v>258</v>
      </c>
      <c r="L87" s="146" t="s">
        <v>227</v>
      </c>
      <c r="M87" s="149">
        <v>45986.0</v>
      </c>
      <c r="N87" s="146" t="s">
        <v>259</v>
      </c>
      <c r="O87" s="153"/>
      <c r="P87" s="154"/>
      <c r="Q87" s="155"/>
      <c r="R87" s="154"/>
      <c r="S87" s="154"/>
      <c r="T87" s="154"/>
      <c r="U87" s="154"/>
      <c r="V87" s="154"/>
      <c r="W87" s="154"/>
      <c r="X87" s="154"/>
      <c r="Y87" s="154"/>
      <c r="Z87" s="154"/>
    </row>
    <row r="88" ht="67.5" customHeight="1" outlineLevel="1">
      <c r="A88" s="146" t="s">
        <v>1445</v>
      </c>
      <c r="B88" s="152" t="s">
        <v>1446</v>
      </c>
      <c r="C88" s="151" t="s">
        <v>1447</v>
      </c>
      <c r="D88" s="151" t="s">
        <v>1448</v>
      </c>
      <c r="E88" s="151" t="s">
        <v>1160</v>
      </c>
      <c r="F88" s="146" t="s">
        <v>227</v>
      </c>
      <c r="G88" s="149">
        <v>45928.0</v>
      </c>
      <c r="H88" s="146" t="s">
        <v>259</v>
      </c>
      <c r="I88" s="146" t="s">
        <v>227</v>
      </c>
      <c r="J88" s="149">
        <v>45960.0</v>
      </c>
      <c r="K88" s="146" t="s">
        <v>258</v>
      </c>
      <c r="L88" s="146" t="s">
        <v>227</v>
      </c>
      <c r="M88" s="149">
        <v>45986.0</v>
      </c>
      <c r="N88" s="146" t="s">
        <v>259</v>
      </c>
      <c r="O88" s="153"/>
      <c r="P88" s="154"/>
      <c r="Q88" s="155"/>
      <c r="R88" s="154"/>
      <c r="S88" s="154"/>
      <c r="T88" s="154"/>
      <c r="U88" s="154"/>
      <c r="V88" s="154"/>
      <c r="W88" s="154"/>
      <c r="X88" s="154"/>
      <c r="Y88" s="154"/>
      <c r="Z88" s="154"/>
    </row>
    <row r="89" ht="57.75" customHeight="1" outlineLevel="1">
      <c r="A89" s="146" t="s">
        <v>1449</v>
      </c>
      <c r="B89" s="152" t="s">
        <v>1450</v>
      </c>
      <c r="C89" s="151" t="s">
        <v>1451</v>
      </c>
      <c r="D89" s="151" t="s">
        <v>1400</v>
      </c>
      <c r="E89" s="151" t="s">
        <v>1401</v>
      </c>
      <c r="F89" s="146" t="s">
        <v>227</v>
      </c>
      <c r="G89" s="149">
        <v>45928.0</v>
      </c>
      <c r="H89" s="146" t="s">
        <v>259</v>
      </c>
      <c r="I89" s="146" t="s">
        <v>227</v>
      </c>
      <c r="J89" s="149">
        <v>45960.0</v>
      </c>
      <c r="K89" s="146" t="s">
        <v>258</v>
      </c>
      <c r="L89" s="146" t="s">
        <v>227</v>
      </c>
      <c r="M89" s="149">
        <v>45986.0</v>
      </c>
      <c r="N89" s="146" t="s">
        <v>259</v>
      </c>
      <c r="O89" s="153"/>
      <c r="P89" s="154"/>
      <c r="Q89" s="155"/>
      <c r="R89" s="154"/>
      <c r="S89" s="154"/>
      <c r="T89" s="154"/>
      <c r="U89" s="154"/>
      <c r="V89" s="154"/>
      <c r="W89" s="154"/>
      <c r="X89" s="154"/>
      <c r="Y89" s="154"/>
      <c r="Z89" s="154"/>
    </row>
    <row r="90" ht="81.75" customHeight="1" outlineLevel="1">
      <c r="A90" s="146" t="s">
        <v>1452</v>
      </c>
      <c r="B90" s="152" t="s">
        <v>1453</v>
      </c>
      <c r="C90" s="151" t="s">
        <v>1454</v>
      </c>
      <c r="D90" s="151" t="s">
        <v>1455</v>
      </c>
      <c r="E90" s="151" t="s">
        <v>1184</v>
      </c>
      <c r="F90" s="146" t="s">
        <v>227</v>
      </c>
      <c r="G90" s="149">
        <v>45928.0</v>
      </c>
      <c r="H90" s="146" t="s">
        <v>259</v>
      </c>
      <c r="I90" s="146" t="s">
        <v>227</v>
      </c>
      <c r="J90" s="149">
        <v>45960.0</v>
      </c>
      <c r="K90" s="146" t="s">
        <v>258</v>
      </c>
      <c r="L90" s="146" t="s">
        <v>227</v>
      </c>
      <c r="M90" s="149">
        <v>45986.0</v>
      </c>
      <c r="N90" s="146" t="s">
        <v>259</v>
      </c>
      <c r="O90" s="153"/>
      <c r="P90" s="154"/>
      <c r="Q90" s="155"/>
      <c r="R90" s="154"/>
      <c r="S90" s="154"/>
      <c r="T90" s="154"/>
      <c r="U90" s="154"/>
      <c r="V90" s="154"/>
      <c r="W90" s="154"/>
      <c r="X90" s="154"/>
      <c r="Y90" s="154"/>
      <c r="Z90" s="154"/>
    </row>
    <row r="91" ht="48.0" customHeight="1" outlineLevel="1">
      <c r="A91" s="146" t="s">
        <v>1456</v>
      </c>
      <c r="B91" s="152" t="s">
        <v>1457</v>
      </c>
      <c r="C91" s="151" t="s">
        <v>1458</v>
      </c>
      <c r="D91" s="151" t="s">
        <v>1459</v>
      </c>
      <c r="E91" s="151" t="s">
        <v>1184</v>
      </c>
      <c r="F91" s="146" t="s">
        <v>227</v>
      </c>
      <c r="G91" s="149">
        <v>45928.0</v>
      </c>
      <c r="H91" s="146" t="s">
        <v>259</v>
      </c>
      <c r="I91" s="146" t="s">
        <v>227</v>
      </c>
      <c r="J91" s="149">
        <v>45960.0</v>
      </c>
      <c r="K91" s="146" t="s">
        <v>258</v>
      </c>
      <c r="L91" s="146" t="s">
        <v>227</v>
      </c>
      <c r="M91" s="149">
        <v>45986.0</v>
      </c>
      <c r="N91" s="146" t="s">
        <v>259</v>
      </c>
      <c r="O91" s="153"/>
      <c r="P91" s="154"/>
      <c r="Q91" s="155"/>
      <c r="R91" s="154"/>
      <c r="S91" s="154"/>
      <c r="T91" s="154"/>
      <c r="U91" s="154"/>
      <c r="V91" s="154"/>
      <c r="W91" s="154"/>
      <c r="X91" s="154"/>
      <c r="Y91" s="154"/>
      <c r="Z91" s="154"/>
    </row>
    <row r="92" ht="45.75" customHeight="1" outlineLevel="1">
      <c r="A92" s="146" t="s">
        <v>1460</v>
      </c>
      <c r="B92" s="152" t="s">
        <v>1461</v>
      </c>
      <c r="C92" s="151" t="s">
        <v>1462</v>
      </c>
      <c r="D92" s="151" t="s">
        <v>1463</v>
      </c>
      <c r="E92" s="151" t="s">
        <v>1184</v>
      </c>
      <c r="F92" s="146" t="s">
        <v>227</v>
      </c>
      <c r="G92" s="149">
        <v>45928.0</v>
      </c>
      <c r="H92" s="146" t="s">
        <v>259</v>
      </c>
      <c r="I92" s="146" t="s">
        <v>227</v>
      </c>
      <c r="J92" s="149">
        <v>45960.0</v>
      </c>
      <c r="K92" s="146" t="s">
        <v>258</v>
      </c>
      <c r="L92" s="146" t="s">
        <v>227</v>
      </c>
      <c r="M92" s="149">
        <v>45986.0</v>
      </c>
      <c r="N92" s="146" t="s">
        <v>259</v>
      </c>
      <c r="O92" s="153"/>
      <c r="P92" s="154"/>
      <c r="Q92" s="155"/>
      <c r="R92" s="154"/>
      <c r="S92" s="154"/>
      <c r="T92" s="154"/>
      <c r="U92" s="154"/>
      <c r="V92" s="154"/>
      <c r="W92" s="154"/>
      <c r="X92" s="154"/>
      <c r="Y92" s="154"/>
      <c r="Z92" s="154"/>
    </row>
    <row r="93" ht="43.5" customHeight="1" outlineLevel="1">
      <c r="A93" s="146" t="s">
        <v>1464</v>
      </c>
      <c r="B93" s="152" t="s">
        <v>1465</v>
      </c>
      <c r="C93" s="151" t="s">
        <v>1466</v>
      </c>
      <c r="D93" s="151" t="s">
        <v>1467</v>
      </c>
      <c r="E93" s="151" t="s">
        <v>1225</v>
      </c>
      <c r="F93" s="146" t="s">
        <v>228</v>
      </c>
      <c r="G93" s="149">
        <v>45928.0</v>
      </c>
      <c r="H93" s="146" t="s">
        <v>259</v>
      </c>
      <c r="I93" s="146" t="s">
        <v>227</v>
      </c>
      <c r="J93" s="149">
        <v>45960.0</v>
      </c>
      <c r="K93" s="146" t="s">
        <v>258</v>
      </c>
      <c r="L93" s="146" t="s">
        <v>227</v>
      </c>
      <c r="M93" s="149">
        <v>45986.0</v>
      </c>
      <c r="N93" s="146" t="s">
        <v>259</v>
      </c>
      <c r="O93" s="153"/>
      <c r="P93" s="154"/>
      <c r="Q93" s="155"/>
      <c r="R93" s="154"/>
      <c r="S93" s="154"/>
      <c r="T93" s="154"/>
      <c r="U93" s="154"/>
      <c r="V93" s="154"/>
      <c r="W93" s="154"/>
      <c r="X93" s="154"/>
      <c r="Y93" s="154"/>
      <c r="Z93" s="154"/>
    </row>
    <row r="94" ht="51.75" customHeight="1" outlineLevel="1">
      <c r="A94" s="146" t="s">
        <v>1468</v>
      </c>
      <c r="B94" s="152" t="s">
        <v>1469</v>
      </c>
      <c r="C94" s="151" t="s">
        <v>1470</v>
      </c>
      <c r="D94" s="151" t="s">
        <v>1471</v>
      </c>
      <c r="E94" s="151" t="s">
        <v>1184</v>
      </c>
      <c r="F94" s="146" t="s">
        <v>227</v>
      </c>
      <c r="G94" s="149">
        <v>45928.0</v>
      </c>
      <c r="H94" s="146" t="s">
        <v>259</v>
      </c>
      <c r="I94" s="146" t="s">
        <v>227</v>
      </c>
      <c r="J94" s="149">
        <v>45960.0</v>
      </c>
      <c r="K94" s="146" t="s">
        <v>258</v>
      </c>
      <c r="L94" s="146" t="s">
        <v>227</v>
      </c>
      <c r="M94" s="149">
        <v>45986.0</v>
      </c>
      <c r="N94" s="146" t="s">
        <v>259</v>
      </c>
      <c r="O94" s="153"/>
      <c r="P94" s="154"/>
      <c r="Q94" s="155"/>
      <c r="R94" s="154"/>
      <c r="S94" s="154"/>
      <c r="T94" s="154"/>
      <c r="U94" s="154"/>
      <c r="V94" s="154"/>
      <c r="W94" s="154"/>
      <c r="X94" s="154"/>
      <c r="Y94" s="154"/>
      <c r="Z94" s="154"/>
    </row>
    <row r="95" ht="45.75" customHeight="1" outlineLevel="1">
      <c r="A95" s="146" t="s">
        <v>1472</v>
      </c>
      <c r="B95" s="152" t="s">
        <v>1473</v>
      </c>
      <c r="C95" s="151" t="s">
        <v>1474</v>
      </c>
      <c r="D95" s="151" t="s">
        <v>1475</v>
      </c>
      <c r="E95" s="151" t="s">
        <v>1297</v>
      </c>
      <c r="F95" s="146" t="s">
        <v>228</v>
      </c>
      <c r="G95" s="149">
        <v>45928.0</v>
      </c>
      <c r="H95" s="146" t="s">
        <v>259</v>
      </c>
      <c r="I95" s="146" t="s">
        <v>227</v>
      </c>
      <c r="J95" s="149">
        <v>45960.0</v>
      </c>
      <c r="K95" s="146" t="s">
        <v>258</v>
      </c>
      <c r="L95" s="146" t="s">
        <v>227</v>
      </c>
      <c r="M95" s="149">
        <v>45986.0</v>
      </c>
      <c r="N95" s="146" t="s">
        <v>259</v>
      </c>
      <c r="O95" s="153"/>
      <c r="P95" s="154"/>
      <c r="Q95" s="155"/>
      <c r="R95" s="154"/>
      <c r="S95" s="154"/>
      <c r="T95" s="154"/>
      <c r="U95" s="154"/>
      <c r="V95" s="154"/>
      <c r="W95" s="154"/>
      <c r="X95" s="154"/>
      <c r="Y95" s="154"/>
      <c r="Z95" s="154"/>
    </row>
    <row r="96" ht="53.25" customHeight="1" outlineLevel="1">
      <c r="A96" s="146" t="s">
        <v>1476</v>
      </c>
      <c r="B96" s="152" t="s">
        <v>1477</v>
      </c>
      <c r="C96" s="151" t="s">
        <v>1478</v>
      </c>
      <c r="D96" s="151" t="s">
        <v>1479</v>
      </c>
      <c r="E96" s="151" t="s">
        <v>1302</v>
      </c>
      <c r="F96" s="146" t="s">
        <v>228</v>
      </c>
      <c r="G96" s="149">
        <v>45928.0</v>
      </c>
      <c r="H96" s="146" t="s">
        <v>259</v>
      </c>
      <c r="I96" s="146" t="s">
        <v>227</v>
      </c>
      <c r="J96" s="149">
        <v>45960.0</v>
      </c>
      <c r="K96" s="146" t="s">
        <v>258</v>
      </c>
      <c r="L96" s="146" t="s">
        <v>227</v>
      </c>
      <c r="M96" s="149">
        <v>45986.0</v>
      </c>
      <c r="N96" s="146" t="s">
        <v>259</v>
      </c>
      <c r="O96" s="153"/>
      <c r="P96" s="154"/>
      <c r="Q96" s="155"/>
      <c r="R96" s="154"/>
      <c r="S96" s="154"/>
      <c r="T96" s="154"/>
      <c r="U96" s="154"/>
      <c r="V96" s="154"/>
      <c r="W96" s="154"/>
      <c r="X96" s="154"/>
      <c r="Y96" s="154"/>
      <c r="Z96" s="154"/>
    </row>
    <row r="97" ht="47.25" customHeight="1" outlineLevel="1">
      <c r="A97" s="146" t="s">
        <v>1480</v>
      </c>
      <c r="B97" s="152" t="s">
        <v>1481</v>
      </c>
      <c r="C97" s="151" t="s">
        <v>1482</v>
      </c>
      <c r="D97" s="151" t="s">
        <v>1483</v>
      </c>
      <c r="E97" s="151" t="s">
        <v>1307</v>
      </c>
      <c r="F97" s="146" t="s">
        <v>227</v>
      </c>
      <c r="G97" s="149">
        <v>45928.0</v>
      </c>
      <c r="H97" s="146" t="s">
        <v>259</v>
      </c>
      <c r="I97" s="146" t="s">
        <v>227</v>
      </c>
      <c r="J97" s="149">
        <v>45960.0</v>
      </c>
      <c r="K97" s="146" t="s">
        <v>258</v>
      </c>
      <c r="L97" s="146" t="s">
        <v>227</v>
      </c>
      <c r="M97" s="149">
        <v>45986.0</v>
      </c>
      <c r="N97" s="146" t="s">
        <v>259</v>
      </c>
      <c r="O97" s="153"/>
      <c r="P97" s="154"/>
      <c r="Q97" s="155"/>
      <c r="R97" s="154"/>
      <c r="S97" s="154"/>
      <c r="T97" s="154"/>
      <c r="U97" s="154"/>
      <c r="V97" s="154"/>
      <c r="W97" s="154"/>
      <c r="X97" s="154"/>
      <c r="Y97" s="154"/>
      <c r="Z97" s="154"/>
    </row>
    <row r="98" ht="54.0" customHeight="1" outlineLevel="1">
      <c r="A98" s="146" t="s">
        <v>1484</v>
      </c>
      <c r="B98" s="152" t="s">
        <v>1485</v>
      </c>
      <c r="C98" s="151" t="s">
        <v>1486</v>
      </c>
      <c r="D98" s="151" t="s">
        <v>1487</v>
      </c>
      <c r="E98" s="151" t="s">
        <v>1184</v>
      </c>
      <c r="F98" s="146" t="s">
        <v>228</v>
      </c>
      <c r="G98" s="149">
        <v>45928.0</v>
      </c>
      <c r="H98" s="146" t="s">
        <v>259</v>
      </c>
      <c r="I98" s="146" t="s">
        <v>227</v>
      </c>
      <c r="J98" s="149">
        <v>45960.0</v>
      </c>
      <c r="K98" s="146" t="s">
        <v>258</v>
      </c>
      <c r="L98" s="146" t="s">
        <v>227</v>
      </c>
      <c r="M98" s="149">
        <v>45986.0</v>
      </c>
      <c r="N98" s="146" t="s">
        <v>259</v>
      </c>
      <c r="O98" s="153"/>
      <c r="P98" s="154"/>
      <c r="Q98" s="155"/>
      <c r="R98" s="154"/>
      <c r="S98" s="154"/>
      <c r="T98" s="154"/>
      <c r="U98" s="154"/>
      <c r="V98" s="154"/>
      <c r="W98" s="154"/>
      <c r="X98" s="154"/>
      <c r="Y98" s="154"/>
      <c r="Z98" s="154"/>
    </row>
    <row r="99" ht="48.0" customHeight="1" outlineLevel="1">
      <c r="A99" s="146" t="s">
        <v>1488</v>
      </c>
      <c r="B99" s="152" t="s">
        <v>1489</v>
      </c>
      <c r="C99" s="151" t="s">
        <v>1490</v>
      </c>
      <c r="D99" s="151" t="s">
        <v>1491</v>
      </c>
      <c r="E99" s="151" t="s">
        <v>1424</v>
      </c>
      <c r="F99" s="146" t="s">
        <v>227</v>
      </c>
      <c r="G99" s="149">
        <v>45928.0</v>
      </c>
      <c r="H99" s="146" t="s">
        <v>259</v>
      </c>
      <c r="I99" s="146" t="s">
        <v>227</v>
      </c>
      <c r="J99" s="149">
        <v>45960.0</v>
      </c>
      <c r="K99" s="146" t="s">
        <v>258</v>
      </c>
      <c r="L99" s="146" t="s">
        <v>227</v>
      </c>
      <c r="M99" s="149">
        <v>45986.0</v>
      </c>
      <c r="N99" s="146" t="s">
        <v>259</v>
      </c>
      <c r="O99" s="153"/>
      <c r="P99" s="154"/>
      <c r="Q99" s="155"/>
      <c r="R99" s="154"/>
      <c r="S99" s="154"/>
      <c r="T99" s="154"/>
      <c r="U99" s="154"/>
      <c r="V99" s="154"/>
      <c r="W99" s="154"/>
      <c r="X99" s="154"/>
      <c r="Y99" s="154"/>
      <c r="Z99" s="154"/>
    </row>
    <row r="100" ht="50.25" customHeight="1" outlineLevel="1">
      <c r="A100" s="146" t="s">
        <v>1492</v>
      </c>
      <c r="B100" s="152" t="s">
        <v>1493</v>
      </c>
      <c r="C100" s="151" t="s">
        <v>1494</v>
      </c>
      <c r="D100" s="151" t="s">
        <v>1495</v>
      </c>
      <c r="E100" s="151" t="s">
        <v>1184</v>
      </c>
      <c r="F100" s="146" t="s">
        <v>228</v>
      </c>
      <c r="G100" s="149">
        <v>45928.0</v>
      </c>
      <c r="H100" s="146" t="s">
        <v>259</v>
      </c>
      <c r="I100" s="146" t="s">
        <v>227</v>
      </c>
      <c r="J100" s="149">
        <v>45960.0</v>
      </c>
      <c r="K100" s="146" t="s">
        <v>258</v>
      </c>
      <c r="L100" s="146" t="s">
        <v>227</v>
      </c>
      <c r="M100" s="149">
        <v>45986.0</v>
      </c>
      <c r="N100" s="146" t="s">
        <v>259</v>
      </c>
      <c r="O100" s="153"/>
      <c r="P100" s="154"/>
      <c r="Q100" s="155"/>
      <c r="R100" s="154"/>
      <c r="S100" s="154"/>
      <c r="T100" s="154"/>
      <c r="U100" s="154"/>
      <c r="V100" s="154"/>
      <c r="W100" s="154"/>
      <c r="X100" s="154"/>
      <c r="Y100" s="154"/>
      <c r="Z100" s="154"/>
    </row>
    <row r="101" ht="15.75" customHeight="1">
      <c r="A101" s="144" t="s">
        <v>1496</v>
      </c>
      <c r="B101" s="145"/>
      <c r="C101" s="117"/>
      <c r="D101" s="117"/>
      <c r="E101" s="117"/>
      <c r="F101" s="145"/>
      <c r="G101" s="145"/>
      <c r="H101" s="145"/>
      <c r="I101" s="145"/>
      <c r="J101" s="145"/>
      <c r="K101" s="145"/>
      <c r="L101" s="145"/>
      <c r="M101" s="145"/>
      <c r="N101" s="145"/>
      <c r="O101" s="145"/>
      <c r="P101" s="118"/>
      <c r="Q101" s="119"/>
      <c r="R101" s="97"/>
      <c r="S101" s="97"/>
      <c r="T101" s="97"/>
      <c r="U101" s="97"/>
      <c r="V101" s="97"/>
      <c r="W101" s="97"/>
      <c r="X101" s="97"/>
      <c r="Y101" s="97"/>
      <c r="Z101" s="97"/>
    </row>
    <row r="102" ht="54.0" customHeight="1" outlineLevel="1">
      <c r="A102" s="146" t="s">
        <v>1497</v>
      </c>
      <c r="B102" s="152" t="s">
        <v>1498</v>
      </c>
      <c r="C102" s="151" t="s">
        <v>1499</v>
      </c>
      <c r="D102" s="151" t="s">
        <v>1500</v>
      </c>
      <c r="E102" s="151" t="s">
        <v>1501</v>
      </c>
      <c r="F102" s="146" t="s">
        <v>227</v>
      </c>
      <c r="G102" s="149">
        <v>45928.0</v>
      </c>
      <c r="H102" s="146" t="s">
        <v>259</v>
      </c>
      <c r="I102" s="146" t="s">
        <v>227</v>
      </c>
      <c r="J102" s="149">
        <v>45960.0</v>
      </c>
      <c r="K102" s="146" t="s">
        <v>258</v>
      </c>
      <c r="L102" s="146" t="s">
        <v>227</v>
      </c>
      <c r="M102" s="149">
        <v>45986.0</v>
      </c>
      <c r="N102" s="146" t="s">
        <v>259</v>
      </c>
      <c r="O102" s="153"/>
      <c r="P102" s="154"/>
      <c r="Q102" s="155"/>
      <c r="R102" s="154"/>
      <c r="S102" s="154"/>
      <c r="T102" s="154"/>
      <c r="U102" s="154"/>
      <c r="V102" s="154"/>
      <c r="W102" s="154"/>
      <c r="X102" s="154"/>
      <c r="Y102" s="154"/>
      <c r="Z102" s="154"/>
    </row>
    <row r="103" ht="60.75" customHeight="1" outlineLevel="1">
      <c r="A103" s="146" t="s">
        <v>1502</v>
      </c>
      <c r="B103" s="152" t="s">
        <v>1503</v>
      </c>
      <c r="C103" s="151" t="s">
        <v>1504</v>
      </c>
      <c r="D103" s="151" t="s">
        <v>1505</v>
      </c>
      <c r="E103" s="151" t="s">
        <v>685</v>
      </c>
      <c r="F103" s="146" t="s">
        <v>227</v>
      </c>
      <c r="G103" s="149">
        <v>45928.0</v>
      </c>
      <c r="H103" s="146" t="s">
        <v>259</v>
      </c>
      <c r="I103" s="146" t="s">
        <v>227</v>
      </c>
      <c r="J103" s="149">
        <v>45960.0</v>
      </c>
      <c r="K103" s="146" t="s">
        <v>258</v>
      </c>
      <c r="L103" s="146" t="s">
        <v>227</v>
      </c>
      <c r="M103" s="149">
        <v>45986.0</v>
      </c>
      <c r="N103" s="146" t="s">
        <v>259</v>
      </c>
      <c r="O103" s="153"/>
      <c r="P103" s="154"/>
      <c r="Q103" s="155"/>
      <c r="R103" s="154"/>
      <c r="S103" s="154"/>
      <c r="T103" s="154"/>
      <c r="U103" s="154"/>
      <c r="V103" s="154"/>
      <c r="W103" s="154"/>
      <c r="X103" s="154"/>
      <c r="Y103" s="154"/>
      <c r="Z103" s="154"/>
    </row>
    <row r="104" ht="54.0" customHeight="1" outlineLevel="1">
      <c r="A104" s="146" t="s">
        <v>1506</v>
      </c>
      <c r="B104" s="152" t="s">
        <v>1507</v>
      </c>
      <c r="C104" s="151" t="s">
        <v>1508</v>
      </c>
      <c r="D104" s="151" t="s">
        <v>1509</v>
      </c>
      <c r="E104" s="151" t="s">
        <v>685</v>
      </c>
      <c r="F104" s="146" t="s">
        <v>227</v>
      </c>
      <c r="G104" s="149">
        <v>45928.0</v>
      </c>
      <c r="H104" s="146" t="s">
        <v>259</v>
      </c>
      <c r="I104" s="146" t="s">
        <v>227</v>
      </c>
      <c r="J104" s="149">
        <v>45960.0</v>
      </c>
      <c r="K104" s="146" t="s">
        <v>258</v>
      </c>
      <c r="L104" s="146" t="s">
        <v>227</v>
      </c>
      <c r="M104" s="149">
        <v>45986.0</v>
      </c>
      <c r="N104" s="146" t="s">
        <v>259</v>
      </c>
      <c r="O104" s="153"/>
      <c r="P104" s="154"/>
      <c r="Q104" s="155"/>
      <c r="R104" s="154"/>
      <c r="S104" s="154"/>
      <c r="T104" s="154"/>
      <c r="U104" s="154"/>
      <c r="V104" s="154"/>
      <c r="W104" s="154"/>
      <c r="X104" s="154"/>
      <c r="Y104" s="154"/>
      <c r="Z104" s="154"/>
    </row>
    <row r="105" ht="74.25" customHeight="1" outlineLevel="1">
      <c r="A105" s="146" t="s">
        <v>1510</v>
      </c>
      <c r="B105" s="152" t="s">
        <v>1511</v>
      </c>
      <c r="C105" s="151" t="s">
        <v>1512</v>
      </c>
      <c r="D105" s="151" t="s">
        <v>1513</v>
      </c>
      <c r="E105" s="151" t="s">
        <v>1207</v>
      </c>
      <c r="F105" s="146" t="s">
        <v>227</v>
      </c>
      <c r="G105" s="149">
        <v>45928.0</v>
      </c>
      <c r="H105" s="146" t="s">
        <v>259</v>
      </c>
      <c r="I105" s="146" t="s">
        <v>227</v>
      </c>
      <c r="J105" s="149">
        <v>45960.0</v>
      </c>
      <c r="K105" s="146" t="s">
        <v>258</v>
      </c>
      <c r="L105" s="146" t="s">
        <v>227</v>
      </c>
      <c r="M105" s="149">
        <v>45986.0</v>
      </c>
      <c r="N105" s="146" t="s">
        <v>259</v>
      </c>
      <c r="O105" s="153"/>
      <c r="P105" s="154"/>
      <c r="Q105" s="155"/>
      <c r="R105" s="154"/>
      <c r="S105" s="154"/>
      <c r="T105" s="154"/>
      <c r="U105" s="154"/>
      <c r="V105" s="154"/>
      <c r="W105" s="154"/>
      <c r="X105" s="154"/>
      <c r="Y105" s="154"/>
      <c r="Z105" s="154"/>
    </row>
    <row r="106" ht="58.5" customHeight="1" outlineLevel="1">
      <c r="A106" s="146" t="s">
        <v>1514</v>
      </c>
      <c r="B106" s="152" t="s">
        <v>1515</v>
      </c>
      <c r="C106" s="151" t="s">
        <v>1516</v>
      </c>
      <c r="D106" s="151" t="s">
        <v>1517</v>
      </c>
      <c r="E106" s="151" t="s">
        <v>1212</v>
      </c>
      <c r="F106" s="146" t="s">
        <v>227</v>
      </c>
      <c r="G106" s="149">
        <v>45928.0</v>
      </c>
      <c r="H106" s="146" t="s">
        <v>259</v>
      </c>
      <c r="I106" s="146" t="s">
        <v>227</v>
      </c>
      <c r="J106" s="149">
        <v>45960.0</v>
      </c>
      <c r="K106" s="146" t="s">
        <v>258</v>
      </c>
      <c r="L106" s="146" t="s">
        <v>227</v>
      </c>
      <c r="M106" s="149">
        <v>45986.0</v>
      </c>
      <c r="N106" s="146" t="s">
        <v>259</v>
      </c>
      <c r="O106" s="153"/>
      <c r="P106" s="154"/>
      <c r="Q106" s="155"/>
      <c r="R106" s="154"/>
      <c r="S106" s="154"/>
      <c r="T106" s="154"/>
      <c r="U106" s="154"/>
      <c r="V106" s="154"/>
      <c r="W106" s="154"/>
      <c r="X106" s="154"/>
      <c r="Y106" s="154"/>
      <c r="Z106" s="154"/>
    </row>
    <row r="107" ht="69.75" customHeight="1" outlineLevel="1">
      <c r="A107" s="146" t="s">
        <v>1518</v>
      </c>
      <c r="B107" s="152" t="s">
        <v>1519</v>
      </c>
      <c r="C107" s="151" t="s">
        <v>1520</v>
      </c>
      <c r="D107" s="151" t="s">
        <v>1521</v>
      </c>
      <c r="E107" s="151" t="s">
        <v>1212</v>
      </c>
      <c r="F107" s="146" t="s">
        <v>227</v>
      </c>
      <c r="G107" s="149">
        <v>45928.0</v>
      </c>
      <c r="H107" s="146" t="s">
        <v>259</v>
      </c>
      <c r="I107" s="146" t="s">
        <v>227</v>
      </c>
      <c r="J107" s="149">
        <v>45960.0</v>
      </c>
      <c r="K107" s="146" t="s">
        <v>258</v>
      </c>
      <c r="L107" s="146" t="s">
        <v>227</v>
      </c>
      <c r="M107" s="149">
        <v>45986.0</v>
      </c>
      <c r="N107" s="146" t="s">
        <v>259</v>
      </c>
      <c r="O107" s="153"/>
      <c r="P107" s="154"/>
      <c r="Q107" s="155"/>
      <c r="R107" s="154"/>
      <c r="S107" s="154"/>
      <c r="T107" s="154"/>
      <c r="U107" s="154"/>
      <c r="V107" s="154"/>
      <c r="W107" s="154"/>
      <c r="X107" s="154"/>
      <c r="Y107" s="154"/>
      <c r="Z107" s="154"/>
    </row>
    <row r="108" ht="66.75" customHeight="1" outlineLevel="1">
      <c r="A108" s="146" t="s">
        <v>1522</v>
      </c>
      <c r="B108" s="152" t="s">
        <v>1523</v>
      </c>
      <c r="C108" s="151" t="s">
        <v>1524</v>
      </c>
      <c r="D108" s="151" t="s">
        <v>1525</v>
      </c>
      <c r="E108" s="151" t="s">
        <v>1202</v>
      </c>
      <c r="F108" s="146" t="s">
        <v>227</v>
      </c>
      <c r="G108" s="149">
        <v>45928.0</v>
      </c>
      <c r="H108" s="146" t="s">
        <v>259</v>
      </c>
      <c r="I108" s="146" t="s">
        <v>227</v>
      </c>
      <c r="J108" s="149">
        <v>45960.0</v>
      </c>
      <c r="K108" s="146" t="s">
        <v>258</v>
      </c>
      <c r="L108" s="146" t="s">
        <v>227</v>
      </c>
      <c r="M108" s="149">
        <v>45986.0</v>
      </c>
      <c r="N108" s="146" t="s">
        <v>259</v>
      </c>
      <c r="O108" s="153"/>
      <c r="P108" s="154"/>
      <c r="Q108" s="155"/>
      <c r="R108" s="154"/>
      <c r="S108" s="154"/>
      <c r="T108" s="154"/>
      <c r="U108" s="154"/>
      <c r="V108" s="154"/>
      <c r="W108" s="154"/>
      <c r="X108" s="154"/>
      <c r="Y108" s="154"/>
      <c r="Z108" s="154"/>
    </row>
    <row r="109" ht="74.25" customHeight="1" outlineLevel="1">
      <c r="A109" s="146" t="s">
        <v>1526</v>
      </c>
      <c r="B109" s="152" t="s">
        <v>1527</v>
      </c>
      <c r="C109" s="151" t="s">
        <v>1528</v>
      </c>
      <c r="D109" s="151" t="s">
        <v>1505</v>
      </c>
      <c r="E109" s="151" t="s">
        <v>685</v>
      </c>
      <c r="F109" s="146" t="s">
        <v>227</v>
      </c>
      <c r="G109" s="149">
        <v>45928.0</v>
      </c>
      <c r="H109" s="146" t="s">
        <v>259</v>
      </c>
      <c r="I109" s="146" t="s">
        <v>227</v>
      </c>
      <c r="J109" s="149">
        <v>45960.0</v>
      </c>
      <c r="K109" s="146" t="s">
        <v>258</v>
      </c>
      <c r="L109" s="146" t="s">
        <v>227</v>
      </c>
      <c r="M109" s="149">
        <v>45986.0</v>
      </c>
      <c r="N109" s="146" t="s">
        <v>259</v>
      </c>
      <c r="O109" s="153"/>
      <c r="P109" s="154"/>
      <c r="Q109" s="155"/>
      <c r="R109" s="154"/>
      <c r="S109" s="154"/>
      <c r="T109" s="154"/>
      <c r="U109" s="154"/>
      <c r="V109" s="154"/>
      <c r="W109" s="154"/>
      <c r="X109" s="154"/>
      <c r="Y109" s="154"/>
      <c r="Z109" s="154"/>
    </row>
    <row r="110" ht="69.75" customHeight="1" outlineLevel="1">
      <c r="A110" s="146" t="s">
        <v>1529</v>
      </c>
      <c r="B110" s="152" t="s">
        <v>1530</v>
      </c>
      <c r="C110" s="151" t="s">
        <v>1531</v>
      </c>
      <c r="D110" s="151" t="s">
        <v>1532</v>
      </c>
      <c r="E110" s="151" t="s">
        <v>685</v>
      </c>
      <c r="F110" s="146" t="s">
        <v>227</v>
      </c>
      <c r="G110" s="149">
        <v>45928.0</v>
      </c>
      <c r="H110" s="146" t="s">
        <v>259</v>
      </c>
      <c r="I110" s="146" t="s">
        <v>227</v>
      </c>
      <c r="J110" s="149">
        <v>45960.0</v>
      </c>
      <c r="K110" s="146" t="s">
        <v>258</v>
      </c>
      <c r="L110" s="146" t="s">
        <v>227</v>
      </c>
      <c r="M110" s="149">
        <v>45986.0</v>
      </c>
      <c r="N110" s="146" t="s">
        <v>259</v>
      </c>
      <c r="O110" s="153"/>
      <c r="P110" s="154"/>
      <c r="Q110" s="155"/>
      <c r="R110" s="154"/>
      <c r="S110" s="154"/>
      <c r="T110" s="154"/>
      <c r="U110" s="154"/>
      <c r="V110" s="154"/>
      <c r="W110" s="154"/>
      <c r="X110" s="154"/>
      <c r="Y110" s="154"/>
      <c r="Z110" s="154"/>
    </row>
    <row r="111" ht="74.25" customHeight="1" outlineLevel="1">
      <c r="A111" s="146" t="s">
        <v>1533</v>
      </c>
      <c r="B111" s="152" t="s">
        <v>1534</v>
      </c>
      <c r="C111" s="151" t="s">
        <v>1535</v>
      </c>
      <c r="D111" s="151" t="s">
        <v>1536</v>
      </c>
      <c r="E111" s="151" t="s">
        <v>685</v>
      </c>
      <c r="F111" s="146" t="s">
        <v>227</v>
      </c>
      <c r="G111" s="149">
        <v>45928.0</v>
      </c>
      <c r="H111" s="146" t="s">
        <v>259</v>
      </c>
      <c r="I111" s="146" t="s">
        <v>227</v>
      </c>
      <c r="J111" s="149">
        <v>45960.0</v>
      </c>
      <c r="K111" s="146" t="s">
        <v>258</v>
      </c>
      <c r="L111" s="146" t="s">
        <v>227</v>
      </c>
      <c r="M111" s="149">
        <v>45986.0</v>
      </c>
      <c r="N111" s="146" t="s">
        <v>259</v>
      </c>
      <c r="O111" s="153"/>
      <c r="P111" s="154"/>
      <c r="Q111" s="155"/>
      <c r="R111" s="154"/>
      <c r="S111" s="154"/>
      <c r="T111" s="154"/>
      <c r="U111" s="154"/>
      <c r="V111" s="154"/>
      <c r="W111" s="154"/>
      <c r="X111" s="154"/>
      <c r="Y111" s="154"/>
      <c r="Z111" s="154"/>
    </row>
    <row r="112" ht="71.25" customHeight="1" outlineLevel="1">
      <c r="A112" s="146" t="s">
        <v>1537</v>
      </c>
      <c r="B112" s="152" t="s">
        <v>1538</v>
      </c>
      <c r="C112" s="151" t="s">
        <v>1539</v>
      </c>
      <c r="D112" s="151" t="s">
        <v>1540</v>
      </c>
      <c r="E112" s="151" t="s">
        <v>685</v>
      </c>
      <c r="F112" s="146" t="s">
        <v>227</v>
      </c>
      <c r="G112" s="149">
        <v>45928.0</v>
      </c>
      <c r="H112" s="146" t="s">
        <v>259</v>
      </c>
      <c r="I112" s="146" t="s">
        <v>227</v>
      </c>
      <c r="J112" s="149">
        <v>45960.0</v>
      </c>
      <c r="K112" s="146" t="s">
        <v>258</v>
      </c>
      <c r="L112" s="146" t="s">
        <v>227</v>
      </c>
      <c r="M112" s="149">
        <v>45986.0</v>
      </c>
      <c r="N112" s="146" t="s">
        <v>259</v>
      </c>
      <c r="O112" s="153"/>
      <c r="P112" s="154"/>
      <c r="Q112" s="155"/>
      <c r="R112" s="154"/>
      <c r="S112" s="154"/>
      <c r="T112" s="154"/>
      <c r="U112" s="154"/>
      <c r="V112" s="154"/>
      <c r="W112" s="154"/>
      <c r="X112" s="154"/>
      <c r="Y112" s="154"/>
      <c r="Z112" s="154"/>
    </row>
    <row r="113" ht="60.0" customHeight="1" outlineLevel="1">
      <c r="A113" s="146" t="s">
        <v>1541</v>
      </c>
      <c r="B113" s="152" t="s">
        <v>1542</v>
      </c>
      <c r="C113" s="151" t="s">
        <v>1543</v>
      </c>
      <c r="D113" s="151" t="s">
        <v>1544</v>
      </c>
      <c r="E113" s="151" t="s">
        <v>685</v>
      </c>
      <c r="F113" s="146" t="s">
        <v>227</v>
      </c>
      <c r="G113" s="149">
        <v>45928.0</v>
      </c>
      <c r="H113" s="146" t="s">
        <v>259</v>
      </c>
      <c r="I113" s="146" t="s">
        <v>227</v>
      </c>
      <c r="J113" s="149">
        <v>45960.0</v>
      </c>
      <c r="K113" s="146" t="s">
        <v>258</v>
      </c>
      <c r="L113" s="146" t="s">
        <v>227</v>
      </c>
      <c r="M113" s="149">
        <v>45986.0</v>
      </c>
      <c r="N113" s="146" t="s">
        <v>259</v>
      </c>
      <c r="O113" s="153"/>
      <c r="P113" s="154"/>
      <c r="Q113" s="155"/>
      <c r="R113" s="154"/>
      <c r="S113" s="154"/>
      <c r="T113" s="154"/>
      <c r="U113" s="154"/>
      <c r="V113" s="154"/>
      <c r="W113" s="154"/>
      <c r="X113" s="154"/>
      <c r="Y113" s="154"/>
      <c r="Z113" s="154"/>
    </row>
    <row r="114" ht="52.5" customHeight="1" outlineLevel="1">
      <c r="A114" s="146" t="s">
        <v>1545</v>
      </c>
      <c r="B114" s="152" t="s">
        <v>1546</v>
      </c>
      <c r="C114" s="151" t="s">
        <v>1547</v>
      </c>
      <c r="D114" s="151" t="s">
        <v>1548</v>
      </c>
      <c r="E114" s="151" t="s">
        <v>1160</v>
      </c>
      <c r="F114" s="146" t="s">
        <v>227</v>
      </c>
      <c r="G114" s="149">
        <v>45928.0</v>
      </c>
      <c r="H114" s="146" t="s">
        <v>259</v>
      </c>
      <c r="I114" s="146" t="s">
        <v>227</v>
      </c>
      <c r="J114" s="149">
        <v>45960.0</v>
      </c>
      <c r="K114" s="146" t="s">
        <v>258</v>
      </c>
      <c r="L114" s="146" t="s">
        <v>227</v>
      </c>
      <c r="M114" s="149">
        <v>45986.0</v>
      </c>
      <c r="N114" s="146" t="s">
        <v>259</v>
      </c>
      <c r="O114" s="153"/>
      <c r="P114" s="154"/>
      <c r="Q114" s="155"/>
      <c r="R114" s="154"/>
      <c r="S114" s="154"/>
      <c r="T114" s="154"/>
      <c r="U114" s="154"/>
      <c r="V114" s="154"/>
      <c r="W114" s="154"/>
      <c r="X114" s="154"/>
      <c r="Y114" s="154"/>
      <c r="Z114" s="154"/>
    </row>
    <row r="115" ht="55.5" customHeight="1" outlineLevel="1">
      <c r="A115" s="146" t="s">
        <v>1549</v>
      </c>
      <c r="B115" s="152" t="s">
        <v>1550</v>
      </c>
      <c r="C115" s="151" t="s">
        <v>1551</v>
      </c>
      <c r="D115" s="151" t="s">
        <v>1552</v>
      </c>
      <c r="E115" s="151" t="s">
        <v>1401</v>
      </c>
      <c r="F115" s="146" t="s">
        <v>227</v>
      </c>
      <c r="G115" s="149">
        <v>45928.0</v>
      </c>
      <c r="H115" s="146" t="s">
        <v>259</v>
      </c>
      <c r="I115" s="146" t="s">
        <v>227</v>
      </c>
      <c r="J115" s="149">
        <v>45960.0</v>
      </c>
      <c r="K115" s="146" t="s">
        <v>258</v>
      </c>
      <c r="L115" s="146" t="s">
        <v>227</v>
      </c>
      <c r="M115" s="149">
        <v>45986.0</v>
      </c>
      <c r="N115" s="146" t="s">
        <v>259</v>
      </c>
      <c r="O115" s="153"/>
      <c r="P115" s="154"/>
      <c r="Q115" s="155"/>
      <c r="R115" s="154"/>
      <c r="S115" s="154"/>
      <c r="T115" s="154"/>
      <c r="U115" s="154"/>
      <c r="V115" s="154"/>
      <c r="W115" s="154"/>
      <c r="X115" s="154"/>
      <c r="Y115" s="154"/>
      <c r="Z115" s="154"/>
    </row>
    <row r="116" ht="54.0" customHeight="1" outlineLevel="1">
      <c r="A116" s="146" t="s">
        <v>1553</v>
      </c>
      <c r="B116" s="152" t="s">
        <v>1554</v>
      </c>
      <c r="C116" s="151" t="s">
        <v>1555</v>
      </c>
      <c r="D116" s="151" t="s">
        <v>1556</v>
      </c>
      <c r="E116" s="151" t="s">
        <v>1557</v>
      </c>
      <c r="F116" s="146" t="s">
        <v>227</v>
      </c>
      <c r="G116" s="149">
        <v>45928.0</v>
      </c>
      <c r="H116" s="146" t="s">
        <v>259</v>
      </c>
      <c r="I116" s="146" t="s">
        <v>227</v>
      </c>
      <c r="J116" s="149">
        <v>45960.0</v>
      </c>
      <c r="K116" s="146" t="s">
        <v>258</v>
      </c>
      <c r="L116" s="146" t="s">
        <v>227</v>
      </c>
      <c r="M116" s="149">
        <v>45986.0</v>
      </c>
      <c r="N116" s="146" t="s">
        <v>259</v>
      </c>
      <c r="O116" s="153"/>
      <c r="P116" s="154"/>
      <c r="Q116" s="155"/>
      <c r="R116" s="154"/>
      <c r="S116" s="154"/>
      <c r="T116" s="154"/>
      <c r="U116" s="154"/>
      <c r="V116" s="154"/>
      <c r="W116" s="154"/>
      <c r="X116" s="154"/>
      <c r="Y116" s="154"/>
      <c r="Z116" s="154"/>
    </row>
    <row r="117" ht="61.5" customHeight="1" outlineLevel="1">
      <c r="A117" s="146" t="s">
        <v>1558</v>
      </c>
      <c r="B117" s="152" t="s">
        <v>1559</v>
      </c>
      <c r="C117" s="151" t="s">
        <v>1560</v>
      </c>
      <c r="D117" s="151" t="s">
        <v>1561</v>
      </c>
      <c r="E117" s="151" t="s">
        <v>685</v>
      </c>
      <c r="F117" s="146" t="s">
        <v>227</v>
      </c>
      <c r="G117" s="149">
        <v>45928.0</v>
      </c>
      <c r="H117" s="146" t="s">
        <v>259</v>
      </c>
      <c r="I117" s="146" t="s">
        <v>227</v>
      </c>
      <c r="J117" s="149">
        <v>45960.0</v>
      </c>
      <c r="K117" s="146" t="s">
        <v>258</v>
      </c>
      <c r="L117" s="146" t="s">
        <v>227</v>
      </c>
      <c r="M117" s="149">
        <v>45986.0</v>
      </c>
      <c r="N117" s="146" t="s">
        <v>259</v>
      </c>
      <c r="O117" s="153"/>
      <c r="P117" s="154"/>
      <c r="Q117" s="155"/>
      <c r="R117" s="154"/>
      <c r="S117" s="154"/>
      <c r="T117" s="154"/>
      <c r="U117" s="154"/>
      <c r="V117" s="154"/>
      <c r="W117" s="154"/>
      <c r="X117" s="154"/>
      <c r="Y117" s="154"/>
      <c r="Z117" s="154"/>
    </row>
    <row r="118" ht="51.75" customHeight="1" outlineLevel="1">
      <c r="A118" s="146" t="s">
        <v>1562</v>
      </c>
      <c r="B118" s="152" t="s">
        <v>1563</v>
      </c>
      <c r="C118" s="151" t="s">
        <v>1564</v>
      </c>
      <c r="D118" s="151" t="s">
        <v>1565</v>
      </c>
      <c r="E118" s="151" t="s">
        <v>1225</v>
      </c>
      <c r="F118" s="146" t="s">
        <v>228</v>
      </c>
      <c r="G118" s="149">
        <v>45928.0</v>
      </c>
      <c r="H118" s="146" t="s">
        <v>259</v>
      </c>
      <c r="I118" s="146" t="s">
        <v>227</v>
      </c>
      <c r="J118" s="149">
        <v>45960.0</v>
      </c>
      <c r="K118" s="146" t="s">
        <v>258</v>
      </c>
      <c r="L118" s="146" t="s">
        <v>227</v>
      </c>
      <c r="M118" s="149">
        <v>45986.0</v>
      </c>
      <c r="N118" s="146" t="s">
        <v>259</v>
      </c>
      <c r="O118" s="153"/>
      <c r="P118" s="154"/>
      <c r="Q118" s="155"/>
      <c r="R118" s="154"/>
      <c r="S118" s="154"/>
      <c r="T118" s="154"/>
      <c r="U118" s="154"/>
      <c r="V118" s="154"/>
      <c r="W118" s="154"/>
      <c r="X118" s="154"/>
      <c r="Y118" s="154"/>
      <c r="Z118" s="154"/>
    </row>
    <row r="119" ht="42.0" customHeight="1" outlineLevel="1">
      <c r="A119" s="146" t="s">
        <v>1566</v>
      </c>
      <c r="B119" s="152" t="s">
        <v>1567</v>
      </c>
      <c r="C119" s="151" t="s">
        <v>1568</v>
      </c>
      <c r="D119" s="151" t="s">
        <v>1569</v>
      </c>
      <c r="E119" s="151" t="s">
        <v>1184</v>
      </c>
      <c r="F119" s="146" t="s">
        <v>227</v>
      </c>
      <c r="G119" s="149">
        <v>45928.0</v>
      </c>
      <c r="H119" s="146" t="s">
        <v>259</v>
      </c>
      <c r="I119" s="146" t="s">
        <v>227</v>
      </c>
      <c r="J119" s="149">
        <v>45960.0</v>
      </c>
      <c r="K119" s="146" t="s">
        <v>258</v>
      </c>
      <c r="L119" s="146" t="s">
        <v>227</v>
      </c>
      <c r="M119" s="149">
        <v>45986.0</v>
      </c>
      <c r="N119" s="146" t="s">
        <v>259</v>
      </c>
      <c r="O119" s="153"/>
      <c r="P119" s="154"/>
      <c r="Q119" s="155"/>
      <c r="R119" s="154"/>
      <c r="S119" s="154"/>
      <c r="T119" s="154"/>
      <c r="U119" s="154"/>
      <c r="V119" s="154"/>
      <c r="W119" s="154"/>
      <c r="X119" s="154"/>
      <c r="Y119" s="154"/>
      <c r="Z119" s="154"/>
    </row>
    <row r="120" ht="42.75" customHeight="1" outlineLevel="1">
      <c r="A120" s="146" t="s">
        <v>1570</v>
      </c>
      <c r="B120" s="152" t="s">
        <v>1571</v>
      </c>
      <c r="C120" s="151" t="s">
        <v>1572</v>
      </c>
      <c r="D120" s="151" t="s">
        <v>1573</v>
      </c>
      <c r="E120" s="151" t="s">
        <v>1297</v>
      </c>
      <c r="F120" s="146" t="s">
        <v>228</v>
      </c>
      <c r="G120" s="149">
        <v>45928.0</v>
      </c>
      <c r="H120" s="146" t="s">
        <v>259</v>
      </c>
      <c r="I120" s="146" t="s">
        <v>227</v>
      </c>
      <c r="J120" s="149">
        <v>45960.0</v>
      </c>
      <c r="K120" s="146" t="s">
        <v>258</v>
      </c>
      <c r="L120" s="146" t="s">
        <v>227</v>
      </c>
      <c r="M120" s="149">
        <v>45986.0</v>
      </c>
      <c r="N120" s="146" t="s">
        <v>259</v>
      </c>
      <c r="O120" s="153"/>
      <c r="P120" s="154"/>
      <c r="Q120" s="155"/>
      <c r="R120" s="154"/>
      <c r="S120" s="154"/>
      <c r="T120" s="154"/>
      <c r="U120" s="154"/>
      <c r="V120" s="154"/>
      <c r="W120" s="154"/>
      <c r="X120" s="154"/>
      <c r="Y120" s="154"/>
      <c r="Z120" s="154"/>
    </row>
    <row r="121" ht="56.25" customHeight="1" outlineLevel="1">
      <c r="A121" s="146" t="s">
        <v>1574</v>
      </c>
      <c r="B121" s="152" t="s">
        <v>1575</v>
      </c>
      <c r="C121" s="151" t="s">
        <v>1576</v>
      </c>
      <c r="D121" s="151" t="s">
        <v>1479</v>
      </c>
      <c r="E121" s="151" t="s">
        <v>1302</v>
      </c>
      <c r="F121" s="146" t="s">
        <v>228</v>
      </c>
      <c r="G121" s="149">
        <v>45928.0</v>
      </c>
      <c r="H121" s="146" t="s">
        <v>259</v>
      </c>
      <c r="I121" s="146" t="s">
        <v>227</v>
      </c>
      <c r="J121" s="149">
        <v>45960.0</v>
      </c>
      <c r="K121" s="146" t="s">
        <v>258</v>
      </c>
      <c r="L121" s="146" t="s">
        <v>227</v>
      </c>
      <c r="M121" s="149">
        <v>45986.0</v>
      </c>
      <c r="N121" s="146" t="s">
        <v>259</v>
      </c>
      <c r="O121" s="153"/>
      <c r="P121" s="154"/>
      <c r="Q121" s="155"/>
      <c r="R121" s="154"/>
      <c r="S121" s="154"/>
      <c r="T121" s="154"/>
      <c r="U121" s="154"/>
      <c r="V121" s="154"/>
      <c r="W121" s="154"/>
      <c r="X121" s="154"/>
      <c r="Y121" s="154"/>
      <c r="Z121" s="154"/>
    </row>
    <row r="122" ht="58.5" customHeight="1" outlineLevel="1">
      <c r="A122" s="146" t="s">
        <v>1577</v>
      </c>
      <c r="B122" s="152" t="s">
        <v>1578</v>
      </c>
      <c r="C122" s="151" t="s">
        <v>1579</v>
      </c>
      <c r="D122" s="151" t="s">
        <v>1483</v>
      </c>
      <c r="E122" s="151" t="s">
        <v>1307</v>
      </c>
      <c r="F122" s="146" t="s">
        <v>227</v>
      </c>
      <c r="G122" s="149">
        <v>45928.0</v>
      </c>
      <c r="H122" s="146" t="s">
        <v>259</v>
      </c>
      <c r="I122" s="146" t="s">
        <v>227</v>
      </c>
      <c r="J122" s="149">
        <v>45960.0</v>
      </c>
      <c r="K122" s="146" t="s">
        <v>258</v>
      </c>
      <c r="L122" s="146" t="s">
        <v>227</v>
      </c>
      <c r="M122" s="149">
        <v>45986.0</v>
      </c>
      <c r="N122" s="146" t="s">
        <v>259</v>
      </c>
      <c r="O122" s="153"/>
      <c r="P122" s="154"/>
      <c r="Q122" s="155"/>
      <c r="R122" s="154"/>
      <c r="S122" s="154"/>
      <c r="T122" s="154"/>
      <c r="U122" s="154"/>
      <c r="V122" s="154"/>
      <c r="W122" s="154"/>
      <c r="X122" s="154"/>
      <c r="Y122" s="154"/>
      <c r="Z122" s="154"/>
    </row>
    <row r="123" ht="50.25" customHeight="1" outlineLevel="1">
      <c r="A123" s="146" t="s">
        <v>1580</v>
      </c>
      <c r="B123" s="152" t="s">
        <v>1581</v>
      </c>
      <c r="C123" s="151" t="s">
        <v>1582</v>
      </c>
      <c r="D123" s="151" t="s">
        <v>1583</v>
      </c>
      <c r="E123" s="151" t="s">
        <v>685</v>
      </c>
      <c r="F123" s="146" t="s">
        <v>227</v>
      </c>
      <c r="G123" s="149">
        <v>45928.0</v>
      </c>
      <c r="H123" s="146" t="s">
        <v>259</v>
      </c>
      <c r="I123" s="146" t="s">
        <v>227</v>
      </c>
      <c r="J123" s="149">
        <v>45960.0</v>
      </c>
      <c r="K123" s="146" t="s">
        <v>258</v>
      </c>
      <c r="L123" s="146" t="s">
        <v>227</v>
      </c>
      <c r="M123" s="149">
        <v>45986.0</v>
      </c>
      <c r="N123" s="146" t="s">
        <v>259</v>
      </c>
      <c r="O123" s="153"/>
      <c r="P123" s="154"/>
      <c r="Q123" s="155"/>
      <c r="R123" s="154"/>
      <c r="S123" s="154"/>
      <c r="T123" s="154"/>
      <c r="U123" s="154"/>
      <c r="V123" s="154"/>
      <c r="W123" s="154"/>
      <c r="X123" s="154"/>
      <c r="Y123" s="154"/>
      <c r="Z123" s="154"/>
    </row>
    <row r="124" ht="69.75" customHeight="1" outlineLevel="1">
      <c r="A124" s="146" t="s">
        <v>1584</v>
      </c>
      <c r="B124" s="152" t="s">
        <v>1585</v>
      </c>
      <c r="C124" s="151" t="s">
        <v>1586</v>
      </c>
      <c r="D124" s="151" t="s">
        <v>1587</v>
      </c>
      <c r="E124" s="151" t="s">
        <v>685</v>
      </c>
      <c r="F124" s="146" t="s">
        <v>227</v>
      </c>
      <c r="G124" s="149">
        <v>45928.0</v>
      </c>
      <c r="H124" s="146" t="s">
        <v>259</v>
      </c>
      <c r="I124" s="146" t="s">
        <v>227</v>
      </c>
      <c r="J124" s="149">
        <v>45960.0</v>
      </c>
      <c r="K124" s="146" t="s">
        <v>258</v>
      </c>
      <c r="L124" s="146" t="s">
        <v>227</v>
      </c>
      <c r="M124" s="149">
        <v>45986.0</v>
      </c>
      <c r="N124" s="146" t="s">
        <v>259</v>
      </c>
      <c r="O124" s="153"/>
      <c r="P124" s="154"/>
      <c r="Q124" s="155"/>
      <c r="R124" s="154"/>
      <c r="S124" s="154"/>
      <c r="T124" s="154"/>
      <c r="U124" s="154"/>
      <c r="V124" s="154"/>
      <c r="W124" s="154"/>
      <c r="X124" s="154"/>
      <c r="Y124" s="154"/>
      <c r="Z124" s="154"/>
    </row>
    <row r="125" ht="70.5" customHeight="1" outlineLevel="1">
      <c r="A125" s="146" t="s">
        <v>1588</v>
      </c>
      <c r="B125" s="152" t="s">
        <v>1589</v>
      </c>
      <c r="C125" s="151" t="s">
        <v>1590</v>
      </c>
      <c r="D125" s="151" t="s">
        <v>1591</v>
      </c>
      <c r="E125" s="151" t="s">
        <v>1184</v>
      </c>
      <c r="F125" s="146" t="s">
        <v>228</v>
      </c>
      <c r="G125" s="149">
        <v>45928.0</v>
      </c>
      <c r="H125" s="146" t="s">
        <v>259</v>
      </c>
      <c r="I125" s="146" t="s">
        <v>227</v>
      </c>
      <c r="J125" s="149">
        <v>45960.0</v>
      </c>
      <c r="K125" s="146" t="s">
        <v>258</v>
      </c>
      <c r="L125" s="146" t="s">
        <v>227</v>
      </c>
      <c r="M125" s="149">
        <v>45986.0</v>
      </c>
      <c r="N125" s="146" t="s">
        <v>259</v>
      </c>
      <c r="O125" s="153"/>
      <c r="P125" s="154"/>
      <c r="Q125" s="155"/>
      <c r="R125" s="154"/>
      <c r="S125" s="154"/>
      <c r="T125" s="154"/>
      <c r="U125" s="154"/>
      <c r="V125" s="154"/>
      <c r="W125" s="154"/>
      <c r="X125" s="154"/>
      <c r="Y125" s="154"/>
      <c r="Z125" s="154"/>
    </row>
    <row r="126" ht="61.5" customHeight="1" outlineLevel="1">
      <c r="A126" s="146" t="s">
        <v>1592</v>
      </c>
      <c r="B126" s="152" t="s">
        <v>1593</v>
      </c>
      <c r="C126" s="151" t="s">
        <v>1594</v>
      </c>
      <c r="D126" s="151" t="s">
        <v>1595</v>
      </c>
      <c r="E126" s="151" t="s">
        <v>1267</v>
      </c>
      <c r="F126" s="146" t="s">
        <v>228</v>
      </c>
      <c r="G126" s="149">
        <v>45928.0</v>
      </c>
      <c r="H126" s="146" t="s">
        <v>259</v>
      </c>
      <c r="I126" s="146" t="s">
        <v>227</v>
      </c>
      <c r="J126" s="149">
        <v>45960.0</v>
      </c>
      <c r="K126" s="146" t="s">
        <v>258</v>
      </c>
      <c r="L126" s="146" t="s">
        <v>227</v>
      </c>
      <c r="M126" s="149">
        <v>45986.0</v>
      </c>
      <c r="N126" s="146" t="s">
        <v>259</v>
      </c>
      <c r="O126" s="153"/>
      <c r="P126" s="154"/>
      <c r="Q126" s="155"/>
      <c r="R126" s="154"/>
      <c r="S126" s="154"/>
      <c r="T126" s="154"/>
      <c r="U126" s="154"/>
      <c r="V126" s="154"/>
      <c r="W126" s="154"/>
      <c r="X126" s="154"/>
      <c r="Y126" s="154"/>
      <c r="Z126" s="154"/>
    </row>
    <row r="127" ht="15.75" customHeight="1">
      <c r="A127" s="144" t="s">
        <v>1596</v>
      </c>
      <c r="B127" s="145"/>
      <c r="C127" s="117"/>
      <c r="D127" s="117"/>
      <c r="E127" s="117"/>
      <c r="F127" s="145"/>
      <c r="G127" s="145"/>
      <c r="H127" s="145"/>
      <c r="I127" s="145"/>
      <c r="J127" s="145"/>
      <c r="K127" s="145"/>
      <c r="L127" s="145"/>
      <c r="M127" s="145"/>
      <c r="N127" s="145"/>
      <c r="O127" s="145"/>
      <c r="P127" s="118"/>
      <c r="Q127" s="119"/>
      <c r="R127" s="97"/>
      <c r="S127" s="97"/>
      <c r="T127" s="97"/>
      <c r="U127" s="97"/>
      <c r="V127" s="97"/>
      <c r="W127" s="97"/>
      <c r="X127" s="97"/>
      <c r="Y127" s="97"/>
      <c r="Z127" s="97"/>
    </row>
    <row r="128" ht="72.0" customHeight="1" outlineLevel="1">
      <c r="A128" s="146" t="s">
        <v>1597</v>
      </c>
      <c r="B128" s="152" t="s">
        <v>1598</v>
      </c>
      <c r="C128" s="151" t="s">
        <v>1599</v>
      </c>
      <c r="D128" s="151" t="s">
        <v>1600</v>
      </c>
      <c r="E128" s="151" t="s">
        <v>1601</v>
      </c>
      <c r="F128" s="146" t="s">
        <v>227</v>
      </c>
      <c r="G128" s="149">
        <v>45928.0</v>
      </c>
      <c r="H128" s="146" t="s">
        <v>259</v>
      </c>
      <c r="I128" s="146" t="s">
        <v>227</v>
      </c>
      <c r="J128" s="149">
        <v>45960.0</v>
      </c>
      <c r="K128" s="146" t="s">
        <v>258</v>
      </c>
      <c r="L128" s="146" t="s">
        <v>227</v>
      </c>
      <c r="M128" s="149">
        <v>45986.0</v>
      </c>
      <c r="N128" s="146" t="s">
        <v>259</v>
      </c>
      <c r="O128" s="153"/>
      <c r="P128" s="154"/>
      <c r="Q128" s="155"/>
      <c r="R128" s="154"/>
      <c r="S128" s="154"/>
      <c r="T128" s="154"/>
      <c r="U128" s="154"/>
      <c r="V128" s="154"/>
      <c r="W128" s="154"/>
      <c r="X128" s="154"/>
      <c r="Y128" s="154"/>
      <c r="Z128" s="154"/>
    </row>
    <row r="129" ht="95.25" customHeight="1" outlineLevel="1">
      <c r="A129" s="146" t="s">
        <v>1602</v>
      </c>
      <c r="B129" s="152" t="s">
        <v>1603</v>
      </c>
      <c r="C129" s="151" t="s">
        <v>1604</v>
      </c>
      <c r="D129" s="151" t="s">
        <v>1605</v>
      </c>
      <c r="E129" s="151" t="s">
        <v>685</v>
      </c>
      <c r="F129" s="146" t="s">
        <v>227</v>
      </c>
      <c r="G129" s="149">
        <v>45928.0</v>
      </c>
      <c r="H129" s="146" t="s">
        <v>259</v>
      </c>
      <c r="I129" s="146" t="s">
        <v>227</v>
      </c>
      <c r="J129" s="149">
        <v>45960.0</v>
      </c>
      <c r="K129" s="146" t="s">
        <v>258</v>
      </c>
      <c r="L129" s="146" t="s">
        <v>227</v>
      </c>
      <c r="M129" s="149">
        <v>45986.0</v>
      </c>
      <c r="N129" s="146" t="s">
        <v>259</v>
      </c>
      <c r="O129" s="153"/>
      <c r="P129" s="154"/>
      <c r="Q129" s="155"/>
      <c r="R129" s="154"/>
      <c r="S129" s="154"/>
      <c r="T129" s="154"/>
      <c r="U129" s="154"/>
      <c r="V129" s="154"/>
      <c r="W129" s="154"/>
      <c r="X129" s="154"/>
      <c r="Y129" s="154"/>
      <c r="Z129" s="154"/>
    </row>
    <row r="130" ht="60.75" customHeight="1" outlineLevel="1">
      <c r="A130" s="146" t="s">
        <v>1606</v>
      </c>
      <c r="B130" s="152" t="s">
        <v>1607</v>
      </c>
      <c r="C130" s="151" t="s">
        <v>1608</v>
      </c>
      <c r="D130" s="151" t="s">
        <v>1609</v>
      </c>
      <c r="E130" s="151" t="s">
        <v>1225</v>
      </c>
      <c r="F130" s="146" t="s">
        <v>227</v>
      </c>
      <c r="G130" s="149">
        <v>45928.0</v>
      </c>
      <c r="H130" s="146" t="s">
        <v>259</v>
      </c>
      <c r="I130" s="146" t="s">
        <v>228</v>
      </c>
      <c r="J130" s="149">
        <v>45960.0</v>
      </c>
      <c r="K130" s="146" t="s">
        <v>258</v>
      </c>
      <c r="L130" s="146" t="s">
        <v>227</v>
      </c>
      <c r="M130" s="149">
        <v>45986.0</v>
      </c>
      <c r="N130" s="146" t="s">
        <v>259</v>
      </c>
      <c r="O130" s="153"/>
      <c r="P130" s="154"/>
      <c r="Q130" s="155"/>
      <c r="R130" s="154"/>
      <c r="S130" s="154"/>
      <c r="T130" s="154"/>
      <c r="U130" s="154"/>
      <c r="V130" s="154"/>
      <c r="W130" s="154"/>
      <c r="X130" s="154"/>
      <c r="Y130" s="154"/>
      <c r="Z130" s="154"/>
    </row>
    <row r="131" ht="76.5" customHeight="1" outlineLevel="1">
      <c r="A131" s="146" t="s">
        <v>1610</v>
      </c>
      <c r="B131" s="152" t="s">
        <v>1611</v>
      </c>
      <c r="C131" s="151" t="s">
        <v>1612</v>
      </c>
      <c r="D131" s="151" t="s">
        <v>1613</v>
      </c>
      <c r="E131" s="151" t="s">
        <v>1601</v>
      </c>
      <c r="F131" s="146" t="s">
        <v>227</v>
      </c>
      <c r="G131" s="149">
        <v>45928.0</v>
      </c>
      <c r="H131" s="146" t="s">
        <v>259</v>
      </c>
      <c r="I131" s="146" t="s">
        <v>227</v>
      </c>
      <c r="J131" s="149">
        <v>45960.0</v>
      </c>
      <c r="K131" s="146" t="s">
        <v>258</v>
      </c>
      <c r="L131" s="146" t="s">
        <v>227</v>
      </c>
      <c r="M131" s="149">
        <v>45986.0</v>
      </c>
      <c r="N131" s="146" t="s">
        <v>259</v>
      </c>
      <c r="O131" s="153"/>
      <c r="P131" s="154"/>
      <c r="Q131" s="155"/>
      <c r="R131" s="154"/>
      <c r="S131" s="154"/>
      <c r="T131" s="154"/>
      <c r="U131" s="154"/>
      <c r="V131" s="154"/>
      <c r="W131" s="154"/>
      <c r="X131" s="154"/>
      <c r="Y131" s="154"/>
      <c r="Z131" s="154"/>
    </row>
    <row r="132" ht="66.75" customHeight="1" outlineLevel="1">
      <c r="A132" s="146" t="s">
        <v>1614</v>
      </c>
      <c r="B132" s="152" t="s">
        <v>1615</v>
      </c>
      <c r="C132" s="151" t="s">
        <v>1616</v>
      </c>
      <c r="D132" s="151" t="s">
        <v>1617</v>
      </c>
      <c r="E132" s="151" t="s">
        <v>1618</v>
      </c>
      <c r="F132" s="146" t="s">
        <v>228</v>
      </c>
      <c r="G132" s="149">
        <v>45928.0</v>
      </c>
      <c r="H132" s="146" t="s">
        <v>259</v>
      </c>
      <c r="I132" s="146" t="s">
        <v>227</v>
      </c>
      <c r="J132" s="149">
        <v>45960.0</v>
      </c>
      <c r="K132" s="146" t="s">
        <v>258</v>
      </c>
      <c r="L132" s="146" t="s">
        <v>227</v>
      </c>
      <c r="M132" s="149">
        <v>45986.0</v>
      </c>
      <c r="N132" s="146" t="s">
        <v>259</v>
      </c>
      <c r="O132" s="153"/>
      <c r="P132" s="154"/>
      <c r="Q132" s="155"/>
      <c r="R132" s="154"/>
      <c r="S132" s="154"/>
      <c r="T132" s="154"/>
      <c r="U132" s="154"/>
      <c r="V132" s="154"/>
      <c r="W132" s="154"/>
      <c r="X132" s="154"/>
      <c r="Y132" s="154"/>
      <c r="Z132" s="154"/>
    </row>
    <row r="133" ht="78.75" customHeight="1" outlineLevel="1">
      <c r="A133" s="146" t="s">
        <v>1619</v>
      </c>
      <c r="B133" s="152" t="s">
        <v>1620</v>
      </c>
      <c r="C133" s="151" t="s">
        <v>1621</v>
      </c>
      <c r="D133" s="151" t="s">
        <v>1622</v>
      </c>
      <c r="E133" s="151" t="s">
        <v>1601</v>
      </c>
      <c r="F133" s="146" t="s">
        <v>228</v>
      </c>
      <c r="G133" s="149">
        <v>45928.0</v>
      </c>
      <c r="H133" s="146" t="s">
        <v>259</v>
      </c>
      <c r="I133" s="146" t="s">
        <v>228</v>
      </c>
      <c r="J133" s="149">
        <v>45960.0</v>
      </c>
      <c r="K133" s="146" t="s">
        <v>258</v>
      </c>
      <c r="L133" s="146" t="s">
        <v>227</v>
      </c>
      <c r="M133" s="149">
        <v>45986.0</v>
      </c>
      <c r="N133" s="146" t="s">
        <v>259</v>
      </c>
      <c r="O133" s="153"/>
      <c r="P133" s="154"/>
      <c r="Q133" s="155"/>
      <c r="R133" s="154"/>
      <c r="S133" s="154"/>
      <c r="T133" s="154"/>
      <c r="U133" s="154"/>
      <c r="V133" s="154"/>
      <c r="W133" s="154"/>
      <c r="X133" s="154"/>
      <c r="Y133" s="154"/>
      <c r="Z133" s="154"/>
    </row>
    <row r="134" ht="76.5" customHeight="1" outlineLevel="1">
      <c r="A134" s="146" t="s">
        <v>1623</v>
      </c>
      <c r="B134" s="152" t="s">
        <v>1624</v>
      </c>
      <c r="C134" s="151" t="s">
        <v>1625</v>
      </c>
      <c r="D134" s="151" t="s">
        <v>1626</v>
      </c>
      <c r="E134" s="151" t="s">
        <v>1627</v>
      </c>
      <c r="F134" s="146" t="s">
        <v>227</v>
      </c>
      <c r="G134" s="149">
        <v>45928.0</v>
      </c>
      <c r="H134" s="146" t="s">
        <v>259</v>
      </c>
      <c r="I134" s="146" t="s">
        <v>227</v>
      </c>
      <c r="J134" s="149">
        <v>45960.0</v>
      </c>
      <c r="K134" s="146" t="s">
        <v>258</v>
      </c>
      <c r="L134" s="146" t="s">
        <v>227</v>
      </c>
      <c r="M134" s="149">
        <v>45986.0</v>
      </c>
      <c r="N134" s="146" t="s">
        <v>259</v>
      </c>
      <c r="O134" s="153"/>
      <c r="P134" s="154"/>
      <c r="Q134" s="155"/>
      <c r="R134" s="154"/>
      <c r="S134" s="154"/>
      <c r="T134" s="154"/>
      <c r="U134" s="154"/>
      <c r="V134" s="154"/>
      <c r="W134" s="154"/>
      <c r="X134" s="154"/>
      <c r="Y134" s="154"/>
      <c r="Z134" s="154"/>
    </row>
    <row r="135" ht="63.75" customHeight="1" outlineLevel="1">
      <c r="A135" s="146" t="s">
        <v>1628</v>
      </c>
      <c r="B135" s="152" t="s">
        <v>1629</v>
      </c>
      <c r="C135" s="151" t="s">
        <v>1630</v>
      </c>
      <c r="D135" s="151" t="s">
        <v>1631</v>
      </c>
      <c r="E135" s="151" t="s">
        <v>1632</v>
      </c>
      <c r="F135" s="146" t="s">
        <v>228</v>
      </c>
      <c r="G135" s="149">
        <v>45928.0</v>
      </c>
      <c r="H135" s="146" t="s">
        <v>259</v>
      </c>
      <c r="I135" s="146" t="s">
        <v>227</v>
      </c>
      <c r="J135" s="149">
        <v>45960.0</v>
      </c>
      <c r="K135" s="146" t="s">
        <v>258</v>
      </c>
      <c r="L135" s="146" t="s">
        <v>227</v>
      </c>
      <c r="M135" s="149">
        <v>45986.0</v>
      </c>
      <c r="N135" s="146" t="s">
        <v>259</v>
      </c>
      <c r="O135" s="153"/>
      <c r="P135" s="154"/>
      <c r="Q135" s="155"/>
      <c r="R135" s="154"/>
      <c r="S135" s="154"/>
      <c r="T135" s="154"/>
      <c r="U135" s="154"/>
      <c r="V135" s="154"/>
      <c r="W135" s="154"/>
      <c r="X135" s="154"/>
      <c r="Y135" s="154"/>
      <c r="Z135" s="154"/>
    </row>
    <row r="136" ht="69.75" customHeight="1" outlineLevel="1">
      <c r="A136" s="146" t="s">
        <v>1633</v>
      </c>
      <c r="B136" s="152" t="s">
        <v>1634</v>
      </c>
      <c r="C136" s="151" t="s">
        <v>1635</v>
      </c>
      <c r="D136" s="151" t="s">
        <v>1636</v>
      </c>
      <c r="E136" s="151" t="s">
        <v>1637</v>
      </c>
      <c r="F136" s="146" t="s">
        <v>227</v>
      </c>
      <c r="G136" s="149">
        <v>45928.0</v>
      </c>
      <c r="H136" s="146" t="s">
        <v>259</v>
      </c>
      <c r="I136" s="146" t="s">
        <v>227</v>
      </c>
      <c r="J136" s="149">
        <v>45960.0</v>
      </c>
      <c r="K136" s="146" t="s">
        <v>258</v>
      </c>
      <c r="L136" s="146" t="s">
        <v>227</v>
      </c>
      <c r="M136" s="149">
        <v>45986.0</v>
      </c>
      <c r="N136" s="146" t="s">
        <v>259</v>
      </c>
      <c r="O136" s="153"/>
      <c r="P136" s="154"/>
      <c r="Q136" s="155"/>
      <c r="R136" s="154"/>
      <c r="S136" s="154"/>
      <c r="T136" s="154"/>
      <c r="U136" s="154"/>
      <c r="V136" s="154"/>
      <c r="W136" s="154"/>
      <c r="X136" s="154"/>
      <c r="Y136" s="154"/>
      <c r="Z136" s="154"/>
    </row>
    <row r="137" ht="74.25" customHeight="1" outlineLevel="1">
      <c r="A137" s="146" t="s">
        <v>1638</v>
      </c>
      <c r="B137" s="152" t="s">
        <v>1639</v>
      </c>
      <c r="C137" s="151" t="s">
        <v>1640</v>
      </c>
      <c r="D137" s="151" t="s">
        <v>1641</v>
      </c>
      <c r="E137" s="151" t="s">
        <v>1642</v>
      </c>
      <c r="F137" s="146" t="s">
        <v>227</v>
      </c>
      <c r="G137" s="149">
        <v>45928.0</v>
      </c>
      <c r="H137" s="146" t="s">
        <v>259</v>
      </c>
      <c r="I137" s="146" t="s">
        <v>227</v>
      </c>
      <c r="J137" s="149">
        <v>45960.0</v>
      </c>
      <c r="K137" s="146" t="s">
        <v>258</v>
      </c>
      <c r="L137" s="146" t="s">
        <v>227</v>
      </c>
      <c r="M137" s="149">
        <v>45986.0</v>
      </c>
      <c r="N137" s="146" t="s">
        <v>259</v>
      </c>
      <c r="O137" s="153"/>
      <c r="P137" s="154"/>
      <c r="Q137" s="155"/>
      <c r="R137" s="154"/>
      <c r="S137" s="154"/>
      <c r="T137" s="154"/>
      <c r="U137" s="154"/>
      <c r="V137" s="154"/>
      <c r="W137" s="154"/>
      <c r="X137" s="154"/>
      <c r="Y137" s="154"/>
      <c r="Z137" s="154"/>
    </row>
    <row r="138" ht="95.25" customHeight="1" outlineLevel="1">
      <c r="A138" s="146" t="s">
        <v>1643</v>
      </c>
      <c r="B138" s="152" t="s">
        <v>1644</v>
      </c>
      <c r="C138" s="151" t="s">
        <v>1645</v>
      </c>
      <c r="D138" s="151" t="s">
        <v>1646</v>
      </c>
      <c r="E138" s="151" t="s">
        <v>1647</v>
      </c>
      <c r="F138" s="146" t="s">
        <v>227</v>
      </c>
      <c r="G138" s="149">
        <v>45928.0</v>
      </c>
      <c r="H138" s="146" t="s">
        <v>259</v>
      </c>
      <c r="I138" s="146" t="s">
        <v>227</v>
      </c>
      <c r="J138" s="149">
        <v>45960.0</v>
      </c>
      <c r="K138" s="146" t="s">
        <v>258</v>
      </c>
      <c r="L138" s="146" t="s">
        <v>227</v>
      </c>
      <c r="M138" s="149">
        <v>45986.0</v>
      </c>
      <c r="N138" s="146" t="s">
        <v>259</v>
      </c>
      <c r="O138" s="153"/>
      <c r="P138" s="154"/>
      <c r="Q138" s="155"/>
      <c r="R138" s="154"/>
      <c r="S138" s="154"/>
      <c r="T138" s="154"/>
      <c r="U138" s="154"/>
      <c r="V138" s="154"/>
      <c r="W138" s="154"/>
      <c r="X138" s="154"/>
      <c r="Y138" s="154"/>
      <c r="Z138" s="154"/>
    </row>
    <row r="139" ht="63.75" customHeight="1" outlineLevel="1">
      <c r="A139" s="146" t="s">
        <v>1648</v>
      </c>
      <c r="B139" s="152" t="s">
        <v>1649</v>
      </c>
      <c r="C139" s="151" t="s">
        <v>1650</v>
      </c>
      <c r="D139" s="151" t="s">
        <v>1651</v>
      </c>
      <c r="E139" s="151" t="s">
        <v>1652</v>
      </c>
      <c r="F139" s="146" t="s">
        <v>228</v>
      </c>
      <c r="G139" s="149">
        <v>45928.0</v>
      </c>
      <c r="H139" s="146" t="s">
        <v>259</v>
      </c>
      <c r="I139" s="146" t="s">
        <v>227</v>
      </c>
      <c r="J139" s="149">
        <v>45960.0</v>
      </c>
      <c r="K139" s="146" t="s">
        <v>258</v>
      </c>
      <c r="L139" s="146" t="s">
        <v>227</v>
      </c>
      <c r="M139" s="149">
        <v>45986.0</v>
      </c>
      <c r="N139" s="146" t="s">
        <v>259</v>
      </c>
      <c r="O139" s="153"/>
      <c r="P139" s="154"/>
      <c r="Q139" s="155"/>
      <c r="R139" s="154"/>
      <c r="S139" s="154"/>
      <c r="T139" s="154"/>
      <c r="U139" s="154"/>
      <c r="V139" s="154"/>
      <c r="W139" s="154"/>
      <c r="X139" s="154"/>
      <c r="Y139" s="154"/>
      <c r="Z139" s="154"/>
    </row>
    <row r="140" ht="66.75" customHeight="1" outlineLevel="1">
      <c r="A140" s="146" t="s">
        <v>1653</v>
      </c>
      <c r="B140" s="152" t="s">
        <v>1654</v>
      </c>
      <c r="C140" s="151" t="s">
        <v>1655</v>
      </c>
      <c r="D140" s="151" t="s">
        <v>1656</v>
      </c>
      <c r="E140" s="151" t="s">
        <v>1657</v>
      </c>
      <c r="F140" s="146" t="s">
        <v>228</v>
      </c>
      <c r="G140" s="149">
        <v>45928.0</v>
      </c>
      <c r="H140" s="146" t="s">
        <v>259</v>
      </c>
      <c r="I140" s="146" t="s">
        <v>228</v>
      </c>
      <c r="J140" s="149">
        <v>45960.0</v>
      </c>
      <c r="K140" s="146" t="s">
        <v>258</v>
      </c>
      <c r="L140" s="146" t="s">
        <v>227</v>
      </c>
      <c r="M140" s="149">
        <v>45986.0</v>
      </c>
      <c r="N140" s="146" t="s">
        <v>259</v>
      </c>
      <c r="O140" s="153"/>
      <c r="P140" s="154"/>
      <c r="Q140" s="155"/>
      <c r="R140" s="154"/>
      <c r="S140" s="154"/>
      <c r="T140" s="154"/>
      <c r="U140" s="154"/>
      <c r="V140" s="154"/>
      <c r="W140" s="154"/>
      <c r="X140" s="154"/>
      <c r="Y140" s="154"/>
      <c r="Z140" s="154"/>
    </row>
    <row r="141" ht="76.5" customHeight="1" outlineLevel="1">
      <c r="A141" s="146" t="s">
        <v>1658</v>
      </c>
      <c r="B141" s="152" t="s">
        <v>1659</v>
      </c>
      <c r="C141" s="151" t="s">
        <v>1660</v>
      </c>
      <c r="D141" s="151" t="s">
        <v>1661</v>
      </c>
      <c r="E141" s="151" t="s">
        <v>1662</v>
      </c>
      <c r="F141" s="146" t="s">
        <v>228</v>
      </c>
      <c r="G141" s="149">
        <v>45928.0</v>
      </c>
      <c r="H141" s="146" t="s">
        <v>259</v>
      </c>
      <c r="I141" s="146" t="s">
        <v>228</v>
      </c>
      <c r="J141" s="149">
        <v>45960.0</v>
      </c>
      <c r="K141" s="146" t="s">
        <v>258</v>
      </c>
      <c r="L141" s="146" t="s">
        <v>227</v>
      </c>
      <c r="M141" s="149">
        <v>45986.0</v>
      </c>
      <c r="N141" s="146" t="s">
        <v>259</v>
      </c>
      <c r="O141" s="153"/>
      <c r="P141" s="154"/>
      <c r="Q141" s="155"/>
      <c r="R141" s="154"/>
      <c r="S141" s="154"/>
      <c r="T141" s="154"/>
      <c r="U141" s="154"/>
      <c r="V141" s="154"/>
      <c r="W141" s="154"/>
      <c r="X141" s="154"/>
      <c r="Y141" s="154"/>
      <c r="Z141" s="154"/>
    </row>
    <row r="142" ht="60.0" customHeight="1" outlineLevel="1">
      <c r="A142" s="146" t="s">
        <v>1663</v>
      </c>
      <c r="B142" s="152" t="s">
        <v>1664</v>
      </c>
      <c r="C142" s="151" t="s">
        <v>1665</v>
      </c>
      <c r="D142" s="151" t="s">
        <v>1666</v>
      </c>
      <c r="E142" s="151" t="s">
        <v>1667</v>
      </c>
      <c r="F142" s="146" t="s">
        <v>227</v>
      </c>
      <c r="G142" s="149">
        <v>45928.0</v>
      </c>
      <c r="H142" s="146" t="s">
        <v>259</v>
      </c>
      <c r="I142" s="146" t="s">
        <v>227</v>
      </c>
      <c r="J142" s="149">
        <v>45960.0</v>
      </c>
      <c r="K142" s="146" t="s">
        <v>258</v>
      </c>
      <c r="L142" s="146" t="s">
        <v>227</v>
      </c>
      <c r="M142" s="149">
        <v>45986.0</v>
      </c>
      <c r="N142" s="146" t="s">
        <v>259</v>
      </c>
      <c r="O142" s="153"/>
      <c r="P142" s="154"/>
      <c r="Q142" s="155"/>
      <c r="R142" s="154"/>
      <c r="S142" s="154"/>
      <c r="T142" s="154"/>
      <c r="U142" s="154"/>
      <c r="V142" s="154"/>
      <c r="W142" s="154"/>
      <c r="X142" s="154"/>
      <c r="Y142" s="154"/>
      <c r="Z142" s="154"/>
    </row>
    <row r="143" ht="12.75" customHeight="1">
      <c r="A143" s="10"/>
      <c r="B143" s="10"/>
      <c r="C143" s="10"/>
      <c r="D143" s="10"/>
      <c r="E143" s="10"/>
      <c r="F143" s="10"/>
      <c r="G143" s="10"/>
      <c r="H143" s="10"/>
      <c r="I143" s="10"/>
      <c r="J143" s="10"/>
      <c r="K143" s="10"/>
      <c r="L143" s="10"/>
      <c r="M143" s="10"/>
      <c r="N143" s="10"/>
      <c r="O143" s="10"/>
      <c r="P143" s="10"/>
      <c r="Q143" s="8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8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8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8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8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8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8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8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8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8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8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8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8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8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8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8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8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8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8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8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8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8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8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8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8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8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8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8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8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8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8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8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8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8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8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8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8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8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8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8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8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8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8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8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8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8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8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8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8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8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8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8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8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8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8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8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8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8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8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8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8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8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8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8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8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8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8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8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8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8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8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8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8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8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8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8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8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8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8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8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8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8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8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8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8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8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8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8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8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8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8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8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8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8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8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8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8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8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8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8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8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8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8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8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8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8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8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8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8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8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8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8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8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8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8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8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8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8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8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8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8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8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8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8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8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8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8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8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8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8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8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8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8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8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8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8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8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8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8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8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8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8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8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8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8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8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8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8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8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8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8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8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8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8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8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8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8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8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8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8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8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8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8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8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8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8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8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8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8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8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8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8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8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8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8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8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8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8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8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8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8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8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8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8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8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8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8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8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8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8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8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8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8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8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8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8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8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8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8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8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8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8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8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8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8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8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8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8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8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8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8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8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8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8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8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8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8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8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8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8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8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8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8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8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8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8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8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8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8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8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8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8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8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8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8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8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8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8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8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8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8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8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8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8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8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8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8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8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8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8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8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8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8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8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8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8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8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8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8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8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8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8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8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8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8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8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8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8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8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8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8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8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8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8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8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8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8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8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8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8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8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8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8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8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8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8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8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8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8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8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8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8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8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8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8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8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8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8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8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8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8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8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8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8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8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8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8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8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8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8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8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8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8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8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8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8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8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8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8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8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8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8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8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8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8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8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8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8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8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8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8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8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8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8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8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8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8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8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8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8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8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8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8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8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8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8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8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8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8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8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8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8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8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8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8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8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8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8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8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8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8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8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8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8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8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8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8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8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8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8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8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8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8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8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8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8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8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8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8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8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8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8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8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8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8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8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8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8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8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8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8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8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8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8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8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8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8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8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8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8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8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8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8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8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8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8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8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8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8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8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8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8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8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8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8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8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8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8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8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8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8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8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8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8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8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8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8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8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8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8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8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8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8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8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8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8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8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8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8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8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8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8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8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8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8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8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8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8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8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8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8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8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8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8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8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8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8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8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8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8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8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8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8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8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8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8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8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8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8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8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8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8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8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8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8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8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8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8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8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8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8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8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8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8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8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8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8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8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8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8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8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8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8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8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8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8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8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8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8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8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8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8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8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8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8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8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8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8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8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8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8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8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8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8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8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8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8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8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8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8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8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8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8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8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8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8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8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8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8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8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8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8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8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8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8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8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8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8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8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8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8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8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8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8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8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8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8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8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8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8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8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8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8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8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8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8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8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8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8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8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8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8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8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8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8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8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8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8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8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8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8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8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8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8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8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8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8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8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8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8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8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8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8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8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8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8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8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8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8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8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8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8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8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8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8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8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8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8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8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8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8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8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8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8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8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8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8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8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8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8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8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8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8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8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8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8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8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8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8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8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8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8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8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8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8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8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8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8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8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8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8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8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8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8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8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8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8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8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8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8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8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8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8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8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8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8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8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8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8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8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8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8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8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8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8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8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8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8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8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8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8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8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8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8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8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8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8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8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8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8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8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8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8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8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8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8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8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8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8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8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8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8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8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8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8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8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8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8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8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8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8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8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8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8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8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8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8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8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8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8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8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8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8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8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8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8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8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8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8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8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8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8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8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8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8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8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8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8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8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8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8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8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8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8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8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8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8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8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8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8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8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8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8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8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8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8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8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8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8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8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8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8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8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8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8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8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8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8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8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8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8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8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8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8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8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8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8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8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8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8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8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8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8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8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8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8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8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8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89"/>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89"/>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89"/>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89"/>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89"/>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89"/>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89"/>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89"/>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89"/>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89"/>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89"/>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89"/>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89"/>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89"/>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89"/>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89"/>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89"/>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89"/>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89"/>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89"/>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89"/>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89"/>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89"/>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89"/>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89"/>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89"/>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89"/>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89"/>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89"/>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89"/>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89"/>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89"/>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89"/>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89"/>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89"/>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89"/>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89"/>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89"/>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89"/>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89"/>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89"/>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89"/>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89"/>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89"/>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89"/>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89"/>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89"/>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89"/>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89"/>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89"/>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89"/>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89"/>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89"/>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89"/>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89"/>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89"/>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89"/>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89"/>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89"/>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89"/>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89"/>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89"/>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89"/>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89"/>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89"/>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89"/>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89"/>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89"/>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89"/>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89"/>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89"/>
      <c r="R981" s="10"/>
      <c r="S981" s="10"/>
      <c r="T981" s="10"/>
      <c r="U981" s="10"/>
      <c r="V981" s="10"/>
      <c r="W981" s="10"/>
      <c r="X981" s="10"/>
      <c r="Y981" s="10"/>
      <c r="Z981" s="10"/>
    </row>
  </sheetData>
  <autoFilter ref="$A$2:$F$8"/>
  <mergeCells count="3">
    <mergeCell ref="B2:E2"/>
    <mergeCell ref="B3:E3"/>
    <mergeCell ref="B4:E4"/>
  </mergeCells>
  <dataValidations>
    <dataValidation type="list" allowBlank="1" showErrorMessage="1" sqref="G2:G3 J2:J3 M2:M3 G9 J9 M9 F12:F142 I12:I142 L12:L142">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9.13" outlineLevel="1"/>
    <col customWidth="1" min="9" max="9" width="9.38"/>
    <col customWidth="1" min="10" max="10" width="10.63" outlineLevel="1"/>
    <col customWidth="1" min="11" max="11" width="13.5" outlineLevel="1"/>
    <col customWidth="1" min="12" max="12" width="9.38"/>
    <col customWidth="1" min="13" max="13" width="10.63" outlineLevel="1"/>
    <col customWidth="1" min="14" max="14" width="12.5"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89"/>
      <c r="R1" s="10"/>
      <c r="S1" s="10"/>
      <c r="T1" s="10"/>
      <c r="U1" s="10"/>
      <c r="V1" s="10"/>
      <c r="W1" s="10"/>
      <c r="X1" s="10"/>
      <c r="Y1" s="10"/>
      <c r="Z1" s="10"/>
    </row>
    <row r="2" ht="15.0" customHeight="1">
      <c r="A2" s="90" t="s">
        <v>236</v>
      </c>
      <c r="B2" s="91" t="s">
        <v>1668</v>
      </c>
      <c r="C2" s="92"/>
      <c r="D2" s="92"/>
      <c r="E2" s="93"/>
      <c r="F2" s="94"/>
      <c r="G2" s="95"/>
      <c r="H2" s="40"/>
      <c r="I2" s="94"/>
      <c r="J2" s="95"/>
      <c r="K2" s="40"/>
      <c r="L2" s="94"/>
      <c r="M2" s="95"/>
      <c r="N2" s="40"/>
      <c r="O2" s="40"/>
      <c r="P2" s="40"/>
      <c r="Q2" s="96"/>
      <c r="R2" s="97" t="s">
        <v>227</v>
      </c>
      <c r="S2" s="97"/>
      <c r="T2" s="97"/>
      <c r="U2" s="97"/>
      <c r="V2" s="97"/>
      <c r="W2" s="97"/>
      <c r="X2" s="97"/>
      <c r="Y2" s="97"/>
      <c r="Z2" s="97"/>
    </row>
    <row r="3" ht="12.75" customHeight="1">
      <c r="A3" s="98" t="s">
        <v>237</v>
      </c>
      <c r="B3" s="99" t="s">
        <v>1669</v>
      </c>
      <c r="C3" s="5"/>
      <c r="D3" s="5"/>
      <c r="E3" s="100"/>
      <c r="F3" s="94"/>
      <c r="G3" s="95"/>
      <c r="H3" s="40"/>
      <c r="I3" s="94"/>
      <c r="J3" s="95"/>
      <c r="K3" s="40"/>
      <c r="L3" s="94"/>
      <c r="M3" s="95"/>
      <c r="N3" s="40"/>
      <c r="O3" s="40"/>
      <c r="P3" s="40"/>
      <c r="Q3" s="96"/>
      <c r="R3" s="97" t="s">
        <v>228</v>
      </c>
      <c r="S3" s="97"/>
      <c r="T3" s="97"/>
      <c r="U3" s="97"/>
      <c r="V3" s="97"/>
      <c r="W3" s="97"/>
      <c r="X3" s="97"/>
      <c r="Y3" s="97"/>
      <c r="Z3" s="97"/>
    </row>
    <row r="4" ht="18.0" customHeight="1">
      <c r="A4" s="98" t="s">
        <v>239</v>
      </c>
      <c r="B4" s="127">
        <f>COUNTA(A12:A897)-6</f>
        <v>27</v>
      </c>
      <c r="C4" s="5"/>
      <c r="D4" s="5"/>
      <c r="E4" s="100"/>
      <c r="F4" s="94"/>
      <c r="G4" s="95"/>
      <c r="H4" s="40"/>
      <c r="I4" s="94"/>
      <c r="J4" s="95"/>
      <c r="K4" s="40"/>
      <c r="L4" s="94"/>
      <c r="M4" s="95"/>
      <c r="N4" s="40"/>
      <c r="O4" s="40"/>
      <c r="P4" s="40"/>
      <c r="Q4" s="96"/>
      <c r="R4" s="97" t="s">
        <v>229</v>
      </c>
      <c r="S4" s="97"/>
      <c r="T4" s="97"/>
      <c r="U4" s="97"/>
      <c r="V4" s="97"/>
      <c r="W4" s="97"/>
      <c r="X4" s="97"/>
      <c r="Y4" s="97"/>
      <c r="Z4" s="97"/>
    </row>
    <row r="5" ht="19.5" customHeight="1">
      <c r="A5" s="101" t="s">
        <v>240</v>
      </c>
      <c r="B5" s="102" t="s">
        <v>227</v>
      </c>
      <c r="C5" s="102" t="s">
        <v>228</v>
      </c>
      <c r="D5" s="102" t="s">
        <v>229</v>
      </c>
      <c r="E5" s="103" t="s">
        <v>230</v>
      </c>
      <c r="F5" s="104"/>
      <c r="G5" s="104"/>
      <c r="H5" s="105"/>
      <c r="I5" s="104"/>
      <c r="J5" s="104"/>
      <c r="K5" s="105"/>
      <c r="L5" s="104"/>
      <c r="M5" s="104"/>
      <c r="N5" s="105"/>
      <c r="O5" s="105"/>
      <c r="P5" s="105"/>
      <c r="Q5" s="106"/>
      <c r="R5" s="97" t="s">
        <v>230</v>
      </c>
      <c r="S5" s="97"/>
      <c r="T5" s="97"/>
      <c r="U5" s="97"/>
      <c r="V5" s="97"/>
      <c r="W5" s="97"/>
      <c r="X5" s="97"/>
      <c r="Y5" s="97"/>
      <c r="Z5" s="97"/>
    </row>
    <row r="6" ht="15.0" customHeight="1">
      <c r="A6" s="101" t="s">
        <v>241</v>
      </c>
      <c r="B6" s="107">
        <f t="shared" ref="B6:E6" si="1">COUNTIF($F10:$F895,B5)</f>
        <v>23</v>
      </c>
      <c r="C6" s="107">
        <f t="shared" si="1"/>
        <v>2</v>
      </c>
      <c r="D6" s="107">
        <f t="shared" si="1"/>
        <v>2</v>
      </c>
      <c r="E6" s="108">
        <f t="shared" si="1"/>
        <v>0</v>
      </c>
      <c r="F6" s="109"/>
      <c r="G6" s="109"/>
      <c r="H6" s="105"/>
      <c r="I6" s="109"/>
      <c r="J6" s="109"/>
      <c r="K6" s="105"/>
      <c r="L6" s="109"/>
      <c r="M6" s="109"/>
      <c r="N6" s="105"/>
      <c r="O6" s="105"/>
      <c r="P6" s="105"/>
      <c r="Q6" s="106"/>
      <c r="R6" s="97"/>
      <c r="S6" s="97"/>
      <c r="T6" s="97"/>
      <c r="U6" s="97"/>
      <c r="V6" s="97"/>
      <c r="W6" s="97"/>
      <c r="X6" s="97"/>
      <c r="Y6" s="97"/>
      <c r="Z6" s="97"/>
    </row>
    <row r="7" ht="15.0" customHeight="1">
      <c r="A7" s="101" t="s">
        <v>242</v>
      </c>
      <c r="B7" s="107">
        <f>COUNTIF($I10:$I895,B5)</f>
        <v>25</v>
      </c>
      <c r="C7" s="107">
        <f>COUNTIF($I10:$FI895,C5)</f>
        <v>3</v>
      </c>
      <c r="D7" s="107">
        <f t="shared" ref="D7:E7" si="2">COUNTIF($F10:$F895,D5)</f>
        <v>2</v>
      </c>
      <c r="E7" s="108">
        <f t="shared" si="2"/>
        <v>0</v>
      </c>
      <c r="F7" s="109"/>
      <c r="G7" s="109"/>
      <c r="H7" s="105"/>
      <c r="I7" s="109"/>
      <c r="J7" s="109"/>
      <c r="K7" s="105"/>
      <c r="L7" s="109"/>
      <c r="M7" s="109"/>
      <c r="N7" s="105"/>
      <c r="O7" s="105"/>
      <c r="P7" s="105"/>
      <c r="Q7" s="106"/>
      <c r="R7" s="97"/>
      <c r="S7" s="97"/>
      <c r="T7" s="97"/>
      <c r="U7" s="97"/>
      <c r="V7" s="97"/>
      <c r="W7" s="97"/>
      <c r="X7" s="97"/>
      <c r="Y7" s="97"/>
      <c r="Z7" s="97"/>
    </row>
    <row r="8" ht="15.0" customHeight="1">
      <c r="A8" s="110" t="s">
        <v>243</v>
      </c>
      <c r="B8" s="111">
        <f t="shared" ref="B8:C8" si="3">COUNTIF($L10:$L895,B5)</f>
        <v>22</v>
      </c>
      <c r="C8" s="111">
        <f t="shared" si="3"/>
        <v>3</v>
      </c>
      <c r="D8" s="111">
        <f t="shared" ref="D8:E8" si="4">COUNTIF($F10:$F895,D5)</f>
        <v>2</v>
      </c>
      <c r="E8" s="112">
        <f t="shared" si="4"/>
        <v>0</v>
      </c>
      <c r="F8" s="109"/>
      <c r="G8" s="109"/>
      <c r="H8" s="105"/>
      <c r="I8" s="109"/>
      <c r="J8" s="109"/>
      <c r="K8" s="105"/>
      <c r="L8" s="109"/>
      <c r="M8" s="109"/>
      <c r="N8" s="105"/>
      <c r="O8" s="105"/>
      <c r="P8" s="105"/>
      <c r="Q8" s="106"/>
      <c r="R8" s="97"/>
      <c r="S8" s="97"/>
      <c r="T8" s="97"/>
      <c r="U8" s="97"/>
      <c r="V8" s="97"/>
      <c r="W8" s="97"/>
      <c r="X8" s="97"/>
      <c r="Y8" s="97"/>
      <c r="Z8" s="97"/>
    </row>
    <row r="9" ht="15.0" customHeight="1">
      <c r="A9" s="105"/>
      <c r="B9" s="105"/>
      <c r="C9" s="105"/>
      <c r="D9" s="105"/>
      <c r="E9" s="105"/>
      <c r="F9" s="88"/>
      <c r="G9" s="105"/>
      <c r="H9" s="105"/>
      <c r="I9" s="88"/>
      <c r="J9" s="105"/>
      <c r="K9" s="105"/>
      <c r="L9" s="88"/>
      <c r="M9" s="105"/>
      <c r="N9" s="105"/>
      <c r="O9" s="105"/>
      <c r="P9" s="105"/>
      <c r="Q9" s="106"/>
      <c r="R9" s="97"/>
      <c r="S9" s="97"/>
      <c r="T9" s="97"/>
      <c r="U9" s="97"/>
      <c r="V9" s="97"/>
      <c r="W9" s="97"/>
      <c r="X9" s="97"/>
      <c r="Y9" s="97"/>
      <c r="Z9" s="97"/>
    </row>
    <row r="10" ht="25.5" customHeight="1">
      <c r="A10" s="114" t="s">
        <v>244</v>
      </c>
      <c r="B10" s="114" t="s">
        <v>245</v>
      </c>
      <c r="C10" s="114" t="s">
        <v>246</v>
      </c>
      <c r="D10" s="114" t="s">
        <v>247</v>
      </c>
      <c r="E10" s="114" t="s">
        <v>248</v>
      </c>
      <c r="F10" s="114" t="s">
        <v>241</v>
      </c>
      <c r="G10" s="114" t="s">
        <v>249</v>
      </c>
      <c r="H10" s="114" t="s">
        <v>250</v>
      </c>
      <c r="I10" s="114" t="s">
        <v>242</v>
      </c>
      <c r="J10" s="114" t="s">
        <v>249</v>
      </c>
      <c r="K10" s="114" t="s">
        <v>250</v>
      </c>
      <c r="L10" s="114" t="s">
        <v>243</v>
      </c>
      <c r="M10" s="114" t="s">
        <v>249</v>
      </c>
      <c r="N10" s="114" t="s">
        <v>250</v>
      </c>
      <c r="O10" s="114" t="s">
        <v>251</v>
      </c>
      <c r="P10" s="97"/>
      <c r="Q10" s="115"/>
      <c r="R10" s="97"/>
      <c r="S10" s="97"/>
      <c r="T10" s="97"/>
      <c r="U10" s="97"/>
      <c r="V10" s="97"/>
      <c r="W10" s="97"/>
      <c r="X10" s="97"/>
      <c r="Y10" s="97"/>
      <c r="Z10" s="97"/>
    </row>
    <row r="11" ht="15.75" customHeight="1">
      <c r="A11" s="116" t="s">
        <v>102</v>
      </c>
      <c r="B11" s="117"/>
      <c r="C11" s="117"/>
      <c r="D11" s="117"/>
      <c r="E11" s="117"/>
      <c r="F11" s="117"/>
      <c r="G11" s="117"/>
      <c r="H11" s="117"/>
      <c r="I11" s="117"/>
      <c r="J11" s="117"/>
      <c r="K11" s="117"/>
      <c r="L11" s="117"/>
      <c r="M11" s="117"/>
      <c r="N11" s="117"/>
      <c r="O11" s="117"/>
      <c r="P11" s="118"/>
      <c r="Q11" s="119"/>
      <c r="R11" s="97"/>
      <c r="S11" s="97"/>
      <c r="T11" s="97"/>
      <c r="U11" s="97"/>
      <c r="V11" s="97"/>
      <c r="W11" s="97"/>
      <c r="X11" s="97"/>
      <c r="Y11" s="97"/>
      <c r="Z11" s="97"/>
    </row>
    <row r="12" ht="120.75" customHeight="1" outlineLevel="1">
      <c r="A12" s="120" t="s">
        <v>1670</v>
      </c>
      <c r="B12" s="128" t="s">
        <v>1671</v>
      </c>
      <c r="C12" s="129" t="s">
        <v>1672</v>
      </c>
      <c r="D12" s="129" t="s">
        <v>1673</v>
      </c>
      <c r="E12" s="129" t="s">
        <v>1674</v>
      </c>
      <c r="F12" s="120" t="s">
        <v>227</v>
      </c>
      <c r="G12" s="122">
        <v>45928.0</v>
      </c>
      <c r="H12" s="120" t="s">
        <v>782</v>
      </c>
      <c r="I12" s="120" t="s">
        <v>227</v>
      </c>
      <c r="J12" s="130">
        <v>45960.0</v>
      </c>
      <c r="K12" s="120" t="s">
        <v>4</v>
      </c>
      <c r="L12" s="120" t="s">
        <v>228</v>
      </c>
      <c r="M12" s="130">
        <v>45986.0</v>
      </c>
      <c r="N12" s="120" t="s">
        <v>782</v>
      </c>
      <c r="O12" s="123"/>
      <c r="P12" s="131"/>
      <c r="Q12" s="124"/>
      <c r="R12" s="132"/>
      <c r="S12" s="132"/>
      <c r="T12" s="132"/>
      <c r="U12" s="132"/>
      <c r="V12" s="132"/>
      <c r="W12" s="132"/>
      <c r="X12" s="132"/>
      <c r="Y12" s="132"/>
      <c r="Z12" s="132"/>
    </row>
    <row r="13" ht="12.75" customHeight="1" outlineLevel="1">
      <c r="A13" s="120" t="s">
        <v>1675</v>
      </c>
      <c r="B13" s="120" t="s">
        <v>1676</v>
      </c>
      <c r="C13" s="120" t="s">
        <v>1677</v>
      </c>
      <c r="D13" s="121" t="s">
        <v>1678</v>
      </c>
      <c r="E13" s="121" t="s">
        <v>1679</v>
      </c>
      <c r="F13" s="120" t="s">
        <v>227</v>
      </c>
      <c r="G13" s="122">
        <v>45928.0</v>
      </c>
      <c r="H13" s="120" t="s">
        <v>782</v>
      </c>
      <c r="I13" s="120" t="s">
        <v>227</v>
      </c>
      <c r="J13" s="130">
        <v>45960.0</v>
      </c>
      <c r="K13" s="120" t="s">
        <v>4</v>
      </c>
      <c r="L13" s="120" t="s">
        <v>227</v>
      </c>
      <c r="M13" s="130">
        <v>45986.0</v>
      </c>
      <c r="N13" s="120" t="s">
        <v>782</v>
      </c>
      <c r="O13" s="123"/>
      <c r="P13" s="57"/>
      <c r="Q13" s="124"/>
      <c r="R13" s="10"/>
      <c r="S13" s="10"/>
      <c r="T13" s="10"/>
      <c r="U13" s="10"/>
      <c r="V13" s="10"/>
      <c r="W13" s="10"/>
      <c r="X13" s="10"/>
      <c r="Y13" s="10"/>
      <c r="Z13" s="10"/>
    </row>
    <row r="14" ht="12.75" customHeight="1" outlineLevel="1">
      <c r="A14" s="120" t="s">
        <v>1680</v>
      </c>
      <c r="B14" s="120" t="s">
        <v>1681</v>
      </c>
      <c r="C14" s="120" t="s">
        <v>1682</v>
      </c>
      <c r="D14" s="121" t="s">
        <v>1683</v>
      </c>
      <c r="E14" s="121" t="s">
        <v>1684</v>
      </c>
      <c r="F14" s="120" t="s">
        <v>228</v>
      </c>
      <c r="G14" s="122">
        <v>45928.0</v>
      </c>
      <c r="H14" s="120" t="s">
        <v>782</v>
      </c>
      <c r="I14" s="120" t="s">
        <v>227</v>
      </c>
      <c r="J14" s="130">
        <v>45960.0</v>
      </c>
      <c r="K14" s="120" t="s">
        <v>4</v>
      </c>
      <c r="L14" s="120" t="s">
        <v>227</v>
      </c>
      <c r="M14" s="130">
        <v>45986.0</v>
      </c>
      <c r="N14" s="120" t="s">
        <v>782</v>
      </c>
      <c r="O14" s="123"/>
      <c r="P14" s="57"/>
      <c r="Q14" s="124"/>
      <c r="R14" s="10"/>
      <c r="S14" s="10"/>
      <c r="T14" s="10"/>
      <c r="U14" s="10"/>
      <c r="V14" s="10"/>
      <c r="W14" s="10"/>
      <c r="X14" s="10"/>
      <c r="Y14" s="10"/>
      <c r="Z14" s="10"/>
    </row>
    <row r="15" ht="12.75" customHeight="1" outlineLevel="1">
      <c r="A15" s="120" t="s">
        <v>1685</v>
      </c>
      <c r="B15" s="120" t="s">
        <v>1686</v>
      </c>
      <c r="C15" s="120" t="s">
        <v>1687</v>
      </c>
      <c r="D15" s="121" t="s">
        <v>1688</v>
      </c>
      <c r="E15" s="121" t="s">
        <v>685</v>
      </c>
      <c r="F15" s="120" t="s">
        <v>227</v>
      </c>
      <c r="G15" s="122">
        <v>45928.0</v>
      </c>
      <c r="H15" s="120" t="s">
        <v>782</v>
      </c>
      <c r="I15" s="120" t="s">
        <v>227</v>
      </c>
      <c r="J15" s="130">
        <v>45960.0</v>
      </c>
      <c r="K15" s="120" t="s">
        <v>4</v>
      </c>
      <c r="L15" s="120" t="s">
        <v>227</v>
      </c>
      <c r="M15" s="130">
        <v>45986.0</v>
      </c>
      <c r="N15" s="120" t="s">
        <v>782</v>
      </c>
      <c r="O15" s="123"/>
      <c r="P15" s="57"/>
      <c r="Q15" s="124"/>
      <c r="R15" s="10"/>
      <c r="S15" s="10"/>
      <c r="T15" s="10"/>
      <c r="U15" s="10"/>
      <c r="V15" s="10"/>
      <c r="W15" s="10"/>
      <c r="X15" s="10"/>
      <c r="Y15" s="10"/>
      <c r="Z15" s="10"/>
    </row>
    <row r="16" ht="12.75" customHeight="1" outlineLevel="1">
      <c r="A16" s="120" t="s">
        <v>1689</v>
      </c>
      <c r="B16" s="120" t="s">
        <v>1690</v>
      </c>
      <c r="C16" s="120" t="s">
        <v>1691</v>
      </c>
      <c r="D16" s="121" t="s">
        <v>1692</v>
      </c>
      <c r="E16" s="121" t="s">
        <v>685</v>
      </c>
      <c r="F16" s="120" t="s">
        <v>227</v>
      </c>
      <c r="G16" s="122">
        <v>45928.0</v>
      </c>
      <c r="H16" s="120" t="s">
        <v>782</v>
      </c>
      <c r="I16" s="120" t="s">
        <v>227</v>
      </c>
      <c r="J16" s="130">
        <v>45960.0</v>
      </c>
      <c r="K16" s="120" t="s">
        <v>4</v>
      </c>
      <c r="L16" s="120" t="s">
        <v>227</v>
      </c>
      <c r="M16" s="130">
        <v>45986.0</v>
      </c>
      <c r="N16" s="120" t="s">
        <v>782</v>
      </c>
      <c r="O16" s="123"/>
      <c r="P16" s="57"/>
      <c r="Q16" s="124"/>
      <c r="R16" s="10"/>
      <c r="S16" s="10"/>
      <c r="T16" s="10"/>
      <c r="U16" s="10"/>
      <c r="V16" s="10"/>
      <c r="W16" s="10"/>
      <c r="X16" s="10"/>
      <c r="Y16" s="10"/>
      <c r="Z16" s="10"/>
    </row>
    <row r="17" ht="12.75" customHeight="1" outlineLevel="1">
      <c r="A17" s="120" t="s">
        <v>1693</v>
      </c>
      <c r="B17" s="120" t="s">
        <v>1694</v>
      </c>
      <c r="C17" s="120" t="s">
        <v>1695</v>
      </c>
      <c r="D17" s="121" t="s">
        <v>1696</v>
      </c>
      <c r="E17" s="121" t="s">
        <v>1197</v>
      </c>
      <c r="F17" s="120" t="s">
        <v>227</v>
      </c>
      <c r="G17" s="122">
        <v>45928.0</v>
      </c>
      <c r="H17" s="120" t="s">
        <v>782</v>
      </c>
      <c r="I17" s="120" t="s">
        <v>227</v>
      </c>
      <c r="J17" s="130">
        <v>45960.0</v>
      </c>
      <c r="K17" s="120" t="s">
        <v>4</v>
      </c>
      <c r="L17" s="120" t="s">
        <v>227</v>
      </c>
      <c r="M17" s="130">
        <v>45986.0</v>
      </c>
      <c r="N17" s="120" t="s">
        <v>782</v>
      </c>
      <c r="O17" s="123"/>
      <c r="P17" s="57"/>
      <c r="Q17" s="124"/>
      <c r="R17" s="10"/>
      <c r="S17" s="10"/>
      <c r="T17" s="10"/>
      <c r="U17" s="10"/>
      <c r="V17" s="10"/>
      <c r="W17" s="10"/>
      <c r="X17" s="10"/>
      <c r="Y17" s="10"/>
      <c r="Z17" s="10"/>
    </row>
    <row r="18" ht="12.75" customHeight="1" outlineLevel="1">
      <c r="A18" s="120" t="s">
        <v>1697</v>
      </c>
      <c r="B18" s="120" t="s">
        <v>1698</v>
      </c>
      <c r="C18" s="120" t="s">
        <v>1699</v>
      </c>
      <c r="D18" s="121" t="s">
        <v>1700</v>
      </c>
      <c r="E18" s="121" t="s">
        <v>1701</v>
      </c>
      <c r="F18" s="120" t="s">
        <v>228</v>
      </c>
      <c r="G18" s="122">
        <v>45928.0</v>
      </c>
      <c r="H18" s="120" t="s">
        <v>782</v>
      </c>
      <c r="I18" s="120" t="s">
        <v>227</v>
      </c>
      <c r="J18" s="130">
        <v>45960.0</v>
      </c>
      <c r="K18" s="120" t="s">
        <v>4</v>
      </c>
      <c r="L18" s="120" t="s">
        <v>227</v>
      </c>
      <c r="M18" s="130">
        <v>45986.0</v>
      </c>
      <c r="N18" s="120" t="s">
        <v>782</v>
      </c>
      <c r="O18" s="123"/>
      <c r="P18" s="57"/>
      <c r="Q18" s="124"/>
      <c r="R18" s="10"/>
      <c r="S18" s="10"/>
      <c r="T18" s="10"/>
      <c r="U18" s="10"/>
      <c r="V18" s="10"/>
      <c r="W18" s="10"/>
      <c r="X18" s="10"/>
      <c r="Y18" s="10"/>
      <c r="Z18" s="10"/>
    </row>
    <row r="19" ht="15.75" customHeight="1">
      <c r="A19" s="116" t="s">
        <v>109</v>
      </c>
      <c r="B19" s="117"/>
      <c r="C19" s="117"/>
      <c r="D19" s="117"/>
      <c r="E19" s="117"/>
      <c r="F19" s="117"/>
      <c r="G19" s="117"/>
      <c r="H19" s="157"/>
      <c r="I19" s="117"/>
      <c r="J19" s="117"/>
      <c r="K19" s="117"/>
      <c r="L19" s="117"/>
      <c r="M19" s="117"/>
      <c r="N19" s="117"/>
      <c r="O19" s="117"/>
      <c r="P19" s="118"/>
      <c r="Q19" s="119"/>
      <c r="R19" s="97"/>
      <c r="S19" s="97"/>
      <c r="T19" s="97"/>
      <c r="U19" s="97"/>
      <c r="V19" s="97"/>
      <c r="W19" s="97"/>
      <c r="X19" s="97"/>
      <c r="Y19" s="97"/>
      <c r="Z19" s="97"/>
    </row>
    <row r="20" ht="12.75" customHeight="1" outlineLevel="1">
      <c r="A20" s="120" t="s">
        <v>1702</v>
      </c>
      <c r="B20" s="120" t="s">
        <v>1703</v>
      </c>
      <c r="C20" s="120" t="s">
        <v>1704</v>
      </c>
      <c r="D20" s="120" t="s">
        <v>1705</v>
      </c>
      <c r="E20" s="120" t="s">
        <v>1706</v>
      </c>
      <c r="F20" s="120" t="s">
        <v>227</v>
      </c>
      <c r="G20" s="122">
        <v>45928.0</v>
      </c>
      <c r="H20" s="120" t="s">
        <v>782</v>
      </c>
      <c r="I20" s="120" t="s">
        <v>227</v>
      </c>
      <c r="J20" s="130">
        <v>45960.0</v>
      </c>
      <c r="K20" s="120" t="s">
        <v>4</v>
      </c>
      <c r="L20" s="120" t="s">
        <v>227</v>
      </c>
      <c r="M20" s="130">
        <v>45986.0</v>
      </c>
      <c r="N20" s="120" t="s">
        <v>782</v>
      </c>
      <c r="O20" s="123"/>
      <c r="P20" s="57"/>
      <c r="Q20" s="124"/>
      <c r="R20" s="10"/>
      <c r="S20" s="10"/>
      <c r="T20" s="10"/>
      <c r="U20" s="10"/>
      <c r="V20" s="10"/>
      <c r="W20" s="10"/>
      <c r="X20" s="10"/>
      <c r="Y20" s="10"/>
      <c r="Z20" s="10"/>
    </row>
    <row r="21" ht="12.75" customHeight="1" outlineLevel="1">
      <c r="A21" s="120" t="s">
        <v>1707</v>
      </c>
      <c r="B21" s="120" t="s">
        <v>1708</v>
      </c>
      <c r="C21" s="120" t="s">
        <v>1709</v>
      </c>
      <c r="D21" s="120" t="s">
        <v>1678</v>
      </c>
      <c r="E21" s="120" t="s">
        <v>1710</v>
      </c>
      <c r="F21" s="120" t="s">
        <v>227</v>
      </c>
      <c r="G21" s="122">
        <v>45928.0</v>
      </c>
      <c r="H21" s="120" t="s">
        <v>782</v>
      </c>
      <c r="I21" s="120" t="s">
        <v>227</v>
      </c>
      <c r="J21" s="130">
        <v>45960.0</v>
      </c>
      <c r="K21" s="120" t="s">
        <v>4</v>
      </c>
      <c r="L21" s="120" t="s">
        <v>227</v>
      </c>
      <c r="M21" s="130">
        <v>45986.0</v>
      </c>
      <c r="N21" s="120" t="s">
        <v>782</v>
      </c>
      <c r="O21" s="79"/>
      <c r="P21" s="57"/>
      <c r="Q21" s="89"/>
      <c r="R21" s="10"/>
      <c r="S21" s="10"/>
      <c r="T21" s="10"/>
      <c r="U21" s="10"/>
      <c r="V21" s="10"/>
      <c r="W21" s="10"/>
      <c r="X21" s="10"/>
      <c r="Y21" s="10"/>
      <c r="Z21" s="10"/>
    </row>
    <row r="22" ht="12.75" customHeight="1" outlineLevel="1">
      <c r="A22" s="120" t="s">
        <v>1711</v>
      </c>
      <c r="B22" s="120" t="s">
        <v>1712</v>
      </c>
      <c r="C22" s="120" t="s">
        <v>1713</v>
      </c>
      <c r="D22" s="120" t="s">
        <v>1714</v>
      </c>
      <c r="E22" s="120" t="s">
        <v>1715</v>
      </c>
      <c r="F22" s="120" t="s">
        <v>227</v>
      </c>
      <c r="G22" s="122">
        <v>45928.0</v>
      </c>
      <c r="H22" s="120" t="s">
        <v>782</v>
      </c>
      <c r="I22" s="120" t="s">
        <v>227</v>
      </c>
      <c r="J22" s="130">
        <v>45960.0</v>
      </c>
      <c r="K22" s="120" t="s">
        <v>4</v>
      </c>
      <c r="L22" s="120" t="s">
        <v>227</v>
      </c>
      <c r="M22" s="130">
        <v>45986.0</v>
      </c>
      <c r="N22" s="120" t="s">
        <v>782</v>
      </c>
      <c r="O22" s="79"/>
      <c r="P22" s="57"/>
      <c r="Q22" s="89"/>
      <c r="R22" s="10"/>
      <c r="S22" s="10"/>
      <c r="T22" s="10"/>
      <c r="U22" s="10"/>
      <c r="V22" s="10"/>
      <c r="W22" s="10"/>
      <c r="X22" s="10"/>
      <c r="Y22" s="10"/>
      <c r="Z22" s="10"/>
    </row>
    <row r="23" ht="12.75" customHeight="1" outlineLevel="1">
      <c r="A23" s="120" t="s">
        <v>1716</v>
      </c>
      <c r="B23" s="120" t="s">
        <v>1717</v>
      </c>
      <c r="C23" s="120" t="s">
        <v>1718</v>
      </c>
      <c r="D23" s="120" t="s">
        <v>1719</v>
      </c>
      <c r="E23" s="120" t="s">
        <v>1197</v>
      </c>
      <c r="F23" s="120" t="s">
        <v>227</v>
      </c>
      <c r="G23" s="122">
        <v>45928.0</v>
      </c>
      <c r="H23" s="120" t="s">
        <v>782</v>
      </c>
      <c r="I23" s="120" t="s">
        <v>227</v>
      </c>
      <c r="J23" s="130">
        <v>45960.0</v>
      </c>
      <c r="K23" s="120" t="s">
        <v>4</v>
      </c>
      <c r="L23" s="120" t="s">
        <v>227</v>
      </c>
      <c r="M23" s="130">
        <v>45986.0</v>
      </c>
      <c r="N23" s="120" t="s">
        <v>782</v>
      </c>
      <c r="O23" s="79"/>
      <c r="P23" s="57"/>
      <c r="Q23" s="89"/>
      <c r="R23" s="10"/>
      <c r="S23" s="10"/>
      <c r="T23" s="10"/>
      <c r="U23" s="10"/>
      <c r="V23" s="10"/>
      <c r="W23" s="10"/>
      <c r="X23" s="10"/>
      <c r="Y23" s="10"/>
      <c r="Z23" s="10"/>
    </row>
    <row r="24" ht="12.75" customHeight="1">
      <c r="A24" s="116" t="s">
        <v>1720</v>
      </c>
      <c r="B24" s="117"/>
      <c r="C24" s="117"/>
      <c r="D24" s="117"/>
      <c r="E24" s="117"/>
      <c r="F24" s="117"/>
      <c r="G24" s="117"/>
      <c r="H24" s="157"/>
      <c r="I24" s="117"/>
      <c r="J24" s="117"/>
      <c r="K24" s="117"/>
      <c r="L24" s="117"/>
      <c r="M24" s="117"/>
      <c r="N24" s="117"/>
      <c r="O24" s="117"/>
      <c r="P24" s="57"/>
      <c r="Q24" s="89"/>
      <c r="R24" s="10"/>
      <c r="S24" s="10"/>
      <c r="T24" s="10"/>
      <c r="U24" s="10"/>
      <c r="V24" s="10"/>
      <c r="W24" s="10"/>
      <c r="X24" s="10"/>
      <c r="Y24" s="10"/>
      <c r="Z24" s="10"/>
    </row>
    <row r="25" ht="12.75" customHeight="1">
      <c r="A25" s="120" t="s">
        <v>1721</v>
      </c>
      <c r="B25" s="120" t="s">
        <v>1722</v>
      </c>
      <c r="C25" s="120" t="s">
        <v>1723</v>
      </c>
      <c r="D25" s="120" t="s">
        <v>1724</v>
      </c>
      <c r="E25" s="120" t="s">
        <v>1706</v>
      </c>
      <c r="F25" s="120" t="s">
        <v>227</v>
      </c>
      <c r="G25" s="122">
        <v>45928.0</v>
      </c>
      <c r="H25" s="120" t="s">
        <v>782</v>
      </c>
      <c r="I25" s="120" t="s">
        <v>227</v>
      </c>
      <c r="J25" s="130">
        <v>45960.0</v>
      </c>
      <c r="K25" s="120" t="s">
        <v>4</v>
      </c>
      <c r="L25" s="120" t="s">
        <v>227</v>
      </c>
      <c r="M25" s="130">
        <v>45986.0</v>
      </c>
      <c r="N25" s="120" t="s">
        <v>782</v>
      </c>
      <c r="O25" s="123"/>
      <c r="P25" s="57"/>
      <c r="Q25" s="89"/>
      <c r="R25" s="10"/>
      <c r="S25" s="10"/>
      <c r="T25" s="10"/>
      <c r="U25" s="10"/>
      <c r="V25" s="10"/>
      <c r="W25" s="10"/>
      <c r="X25" s="10"/>
      <c r="Y25" s="10"/>
      <c r="Z25" s="10"/>
    </row>
    <row r="26" ht="12.75" customHeight="1">
      <c r="A26" s="120" t="s">
        <v>1725</v>
      </c>
      <c r="B26" s="120" t="s">
        <v>1726</v>
      </c>
      <c r="C26" s="120" t="s">
        <v>1727</v>
      </c>
      <c r="D26" s="120" t="s">
        <v>1714</v>
      </c>
      <c r="E26" s="120" t="s">
        <v>1728</v>
      </c>
      <c r="F26" s="120" t="s">
        <v>227</v>
      </c>
      <c r="G26" s="122">
        <v>45928.0</v>
      </c>
      <c r="H26" s="158" t="s">
        <v>782</v>
      </c>
      <c r="I26" s="120" t="s">
        <v>227</v>
      </c>
      <c r="J26" s="130">
        <v>45960.0</v>
      </c>
      <c r="K26" s="120" t="s">
        <v>4</v>
      </c>
      <c r="L26" s="120" t="s">
        <v>227</v>
      </c>
      <c r="M26" s="130">
        <v>45986.0</v>
      </c>
      <c r="N26" s="120" t="s">
        <v>782</v>
      </c>
      <c r="O26" s="79"/>
      <c r="P26" s="57"/>
      <c r="Q26" s="89"/>
      <c r="R26" s="10"/>
      <c r="S26" s="10"/>
      <c r="T26" s="10"/>
      <c r="U26" s="10"/>
      <c r="V26" s="10"/>
      <c r="W26" s="10"/>
      <c r="X26" s="10"/>
      <c r="Y26" s="10"/>
      <c r="Z26" s="10"/>
    </row>
    <row r="27" ht="12.75" customHeight="1">
      <c r="A27" s="120" t="s">
        <v>1729</v>
      </c>
      <c r="B27" s="120" t="s">
        <v>1730</v>
      </c>
      <c r="C27" s="120" t="s">
        <v>1731</v>
      </c>
      <c r="D27" s="120" t="s">
        <v>1719</v>
      </c>
      <c r="E27" s="120" t="s">
        <v>1197</v>
      </c>
      <c r="F27" s="120" t="s">
        <v>227</v>
      </c>
      <c r="G27" s="122">
        <v>45928.0</v>
      </c>
      <c r="H27" s="158" t="s">
        <v>782</v>
      </c>
      <c r="I27" s="120" t="s">
        <v>227</v>
      </c>
      <c r="J27" s="130">
        <v>45960.0</v>
      </c>
      <c r="K27" s="120" t="s">
        <v>4</v>
      </c>
      <c r="L27" s="120" t="s">
        <v>227</v>
      </c>
      <c r="M27" s="130">
        <v>45986.0</v>
      </c>
      <c r="N27" s="120" t="s">
        <v>782</v>
      </c>
      <c r="O27" s="79"/>
      <c r="P27" s="57"/>
      <c r="Q27" s="89"/>
      <c r="R27" s="10"/>
      <c r="S27" s="10"/>
      <c r="T27" s="10"/>
      <c r="U27" s="10"/>
      <c r="V27" s="10"/>
      <c r="W27" s="10"/>
      <c r="X27" s="10"/>
      <c r="Y27" s="10"/>
      <c r="Z27" s="10"/>
    </row>
    <row r="28" ht="12.75" customHeight="1">
      <c r="A28" s="116" t="s">
        <v>111</v>
      </c>
      <c r="B28" s="117"/>
      <c r="C28" s="117"/>
      <c r="D28" s="117"/>
      <c r="E28" s="117"/>
      <c r="F28" s="117"/>
      <c r="G28" s="117"/>
      <c r="H28" s="157"/>
      <c r="I28" s="117"/>
      <c r="J28" s="117"/>
      <c r="K28" s="117"/>
      <c r="L28" s="117"/>
      <c r="M28" s="117"/>
      <c r="N28" s="117"/>
      <c r="O28" s="117"/>
      <c r="P28" s="57"/>
      <c r="Q28" s="89"/>
      <c r="R28" s="10"/>
      <c r="S28" s="10"/>
      <c r="T28" s="10"/>
      <c r="U28" s="10"/>
      <c r="V28" s="10"/>
      <c r="W28" s="10"/>
      <c r="X28" s="10"/>
      <c r="Y28" s="10"/>
      <c r="Z28" s="10"/>
    </row>
    <row r="29" ht="12.75" customHeight="1">
      <c r="A29" s="120" t="s">
        <v>1732</v>
      </c>
      <c r="B29" s="120" t="s">
        <v>1733</v>
      </c>
      <c r="C29" s="120" t="s">
        <v>1734</v>
      </c>
      <c r="D29" s="120" t="s">
        <v>1735</v>
      </c>
      <c r="E29" s="120" t="s">
        <v>1736</v>
      </c>
      <c r="F29" s="120" t="s">
        <v>227</v>
      </c>
      <c r="G29" s="122">
        <v>45928.0</v>
      </c>
      <c r="H29" s="120" t="s">
        <v>782</v>
      </c>
      <c r="I29" s="120" t="s">
        <v>227</v>
      </c>
      <c r="J29" s="130">
        <v>45960.0</v>
      </c>
      <c r="K29" s="120" t="s">
        <v>4</v>
      </c>
      <c r="L29" s="120" t="s">
        <v>228</v>
      </c>
      <c r="M29" s="130">
        <v>45986.0</v>
      </c>
      <c r="N29" s="120" t="s">
        <v>782</v>
      </c>
      <c r="O29" s="123"/>
      <c r="P29" s="57"/>
      <c r="Q29" s="89"/>
      <c r="R29" s="10"/>
      <c r="S29" s="10"/>
      <c r="T29" s="10"/>
      <c r="U29" s="10"/>
      <c r="V29" s="10"/>
      <c r="W29" s="10"/>
      <c r="X29" s="10"/>
      <c r="Y29" s="10"/>
      <c r="Z29" s="10"/>
    </row>
    <row r="30" ht="12.75" customHeight="1">
      <c r="A30" s="120" t="s">
        <v>1737</v>
      </c>
      <c r="B30" s="120" t="s">
        <v>1738</v>
      </c>
      <c r="C30" s="120" t="s">
        <v>1739</v>
      </c>
      <c r="D30" s="120" t="s">
        <v>1740</v>
      </c>
      <c r="E30" s="120" t="s">
        <v>1741</v>
      </c>
      <c r="F30" s="120" t="s">
        <v>227</v>
      </c>
      <c r="G30" s="122">
        <v>45928.0</v>
      </c>
      <c r="H30" s="158" t="s">
        <v>782</v>
      </c>
      <c r="I30" s="120" t="s">
        <v>227</v>
      </c>
      <c r="J30" s="130">
        <v>45960.0</v>
      </c>
      <c r="K30" s="120" t="s">
        <v>4</v>
      </c>
      <c r="L30" s="120" t="s">
        <v>227</v>
      </c>
      <c r="M30" s="130">
        <v>45986.0</v>
      </c>
      <c r="N30" s="120" t="s">
        <v>782</v>
      </c>
      <c r="O30" s="79"/>
      <c r="P30" s="57"/>
      <c r="Q30" s="89"/>
      <c r="R30" s="10"/>
      <c r="S30" s="10"/>
      <c r="T30" s="10"/>
      <c r="U30" s="10"/>
      <c r="V30" s="10"/>
      <c r="W30" s="10"/>
      <c r="X30" s="10"/>
      <c r="Y30" s="10"/>
      <c r="Z30" s="10"/>
    </row>
    <row r="31" ht="12.75" customHeight="1">
      <c r="A31" s="120" t="s">
        <v>1742</v>
      </c>
      <c r="B31" s="120" t="s">
        <v>1743</v>
      </c>
      <c r="C31" s="120" t="s">
        <v>1744</v>
      </c>
      <c r="D31" s="120" t="s">
        <v>1745</v>
      </c>
      <c r="E31" s="120" t="s">
        <v>1746</v>
      </c>
      <c r="F31" s="120" t="s">
        <v>227</v>
      </c>
      <c r="G31" s="122">
        <v>45928.0</v>
      </c>
      <c r="H31" s="158" t="s">
        <v>782</v>
      </c>
      <c r="I31" s="120" t="s">
        <v>227</v>
      </c>
      <c r="J31" s="130">
        <v>45960.0</v>
      </c>
      <c r="K31" s="120" t="s">
        <v>4</v>
      </c>
      <c r="L31" s="120" t="s">
        <v>227</v>
      </c>
      <c r="M31" s="130">
        <v>45986.0</v>
      </c>
      <c r="N31" s="120" t="s">
        <v>782</v>
      </c>
      <c r="O31" s="79"/>
      <c r="P31" s="57"/>
      <c r="Q31" s="89"/>
      <c r="R31" s="10"/>
      <c r="S31" s="10"/>
      <c r="T31" s="10"/>
      <c r="U31" s="10"/>
      <c r="V31" s="10"/>
      <c r="W31" s="10"/>
      <c r="X31" s="10"/>
      <c r="Y31" s="10"/>
      <c r="Z31" s="10"/>
    </row>
    <row r="32" ht="12.75" customHeight="1">
      <c r="A32" s="120" t="s">
        <v>1747</v>
      </c>
      <c r="B32" s="120" t="s">
        <v>1748</v>
      </c>
      <c r="C32" s="120" t="s">
        <v>1749</v>
      </c>
      <c r="D32" s="120" t="s">
        <v>1750</v>
      </c>
      <c r="E32" s="120" t="s">
        <v>1751</v>
      </c>
      <c r="F32" s="120" t="s">
        <v>227</v>
      </c>
      <c r="G32" s="122">
        <v>45928.0</v>
      </c>
      <c r="H32" s="158" t="s">
        <v>782</v>
      </c>
      <c r="I32" s="120" t="s">
        <v>227</v>
      </c>
      <c r="J32" s="130">
        <v>45960.0</v>
      </c>
      <c r="K32" s="120" t="s">
        <v>4</v>
      </c>
      <c r="L32" s="120" t="s">
        <v>227</v>
      </c>
      <c r="M32" s="130">
        <v>45986.0</v>
      </c>
      <c r="N32" s="120" t="s">
        <v>782</v>
      </c>
      <c r="O32" s="79"/>
      <c r="P32" s="57"/>
      <c r="Q32" s="89"/>
      <c r="R32" s="10"/>
      <c r="S32" s="10"/>
      <c r="T32" s="10"/>
      <c r="U32" s="10"/>
      <c r="V32" s="10"/>
      <c r="W32" s="10"/>
      <c r="X32" s="10"/>
      <c r="Y32" s="10"/>
      <c r="Z32" s="10"/>
    </row>
    <row r="33" ht="12.75" customHeight="1">
      <c r="A33" s="120" t="s">
        <v>1752</v>
      </c>
      <c r="B33" s="120" t="s">
        <v>1753</v>
      </c>
      <c r="C33" s="120" t="s">
        <v>1754</v>
      </c>
      <c r="D33" s="120" t="s">
        <v>1755</v>
      </c>
      <c r="E33" s="120" t="s">
        <v>1756</v>
      </c>
      <c r="F33" s="120" t="s">
        <v>227</v>
      </c>
      <c r="G33" s="122">
        <v>45928.0</v>
      </c>
      <c r="H33" s="158" t="s">
        <v>782</v>
      </c>
      <c r="I33" s="120" t="s">
        <v>227</v>
      </c>
      <c r="J33" s="130">
        <v>45960.0</v>
      </c>
      <c r="K33" s="120" t="s">
        <v>4</v>
      </c>
      <c r="L33" s="120" t="s">
        <v>227</v>
      </c>
      <c r="M33" s="130">
        <v>45986.0</v>
      </c>
      <c r="N33" s="120" t="s">
        <v>782</v>
      </c>
      <c r="O33" s="79"/>
      <c r="P33" s="57"/>
      <c r="Q33" s="89"/>
      <c r="R33" s="10"/>
      <c r="S33" s="10"/>
      <c r="T33" s="10"/>
      <c r="U33" s="10"/>
      <c r="V33" s="10"/>
      <c r="W33" s="10"/>
      <c r="X33" s="10"/>
      <c r="Y33" s="10"/>
      <c r="Z33" s="10"/>
    </row>
    <row r="34" ht="12.75" customHeight="1">
      <c r="A34" s="120" t="s">
        <v>1757</v>
      </c>
      <c r="B34" s="120" t="s">
        <v>1758</v>
      </c>
      <c r="C34" s="120" t="s">
        <v>1759</v>
      </c>
      <c r="D34" s="120" t="s">
        <v>1760</v>
      </c>
      <c r="E34" s="120" t="s">
        <v>1761</v>
      </c>
      <c r="F34" s="120" t="s">
        <v>227</v>
      </c>
      <c r="G34" s="122">
        <v>45928.0</v>
      </c>
      <c r="H34" s="158" t="s">
        <v>782</v>
      </c>
      <c r="I34" s="120" t="s">
        <v>227</v>
      </c>
      <c r="J34" s="130">
        <v>45960.0</v>
      </c>
      <c r="K34" s="120" t="s">
        <v>4</v>
      </c>
      <c r="L34" s="120" t="s">
        <v>227</v>
      </c>
      <c r="M34" s="130">
        <v>45986.0</v>
      </c>
      <c r="N34" s="120" t="s">
        <v>782</v>
      </c>
      <c r="O34" s="79"/>
      <c r="P34" s="57"/>
      <c r="Q34" s="89"/>
      <c r="R34" s="10"/>
      <c r="S34" s="10"/>
      <c r="T34" s="10"/>
      <c r="U34" s="10"/>
      <c r="V34" s="10"/>
      <c r="W34" s="10"/>
      <c r="X34" s="10"/>
      <c r="Y34" s="10"/>
      <c r="Z34" s="10"/>
    </row>
    <row r="35" ht="12.75" customHeight="1">
      <c r="A35" s="120" t="s">
        <v>1762</v>
      </c>
      <c r="B35" s="120" t="s">
        <v>1763</v>
      </c>
      <c r="C35" s="120" t="s">
        <v>1764</v>
      </c>
      <c r="D35" s="120" t="s">
        <v>1750</v>
      </c>
      <c r="E35" s="120" t="s">
        <v>1765</v>
      </c>
      <c r="F35" s="120" t="s">
        <v>227</v>
      </c>
      <c r="G35" s="122">
        <v>45928.0</v>
      </c>
      <c r="H35" s="158" t="s">
        <v>782</v>
      </c>
      <c r="I35" s="120" t="s">
        <v>227</v>
      </c>
      <c r="J35" s="130">
        <v>45960.0</v>
      </c>
      <c r="K35" s="120" t="s">
        <v>4</v>
      </c>
      <c r="L35" s="120" t="s">
        <v>227</v>
      </c>
      <c r="M35" s="130">
        <v>45986.0</v>
      </c>
      <c r="N35" s="120" t="s">
        <v>782</v>
      </c>
      <c r="O35" s="79"/>
      <c r="P35" s="57"/>
      <c r="Q35" s="89"/>
      <c r="R35" s="10"/>
      <c r="S35" s="10"/>
      <c r="T35" s="10"/>
      <c r="U35" s="10"/>
      <c r="V35" s="10"/>
      <c r="W35" s="10"/>
      <c r="X35" s="10"/>
      <c r="Y35" s="10"/>
      <c r="Z35" s="10"/>
    </row>
    <row r="36" ht="12.75" customHeight="1">
      <c r="A36" s="116" t="s">
        <v>1766</v>
      </c>
      <c r="B36" s="117"/>
      <c r="C36" s="117"/>
      <c r="D36" s="117"/>
      <c r="E36" s="117"/>
      <c r="F36" s="117"/>
      <c r="G36" s="117"/>
      <c r="H36" s="157"/>
      <c r="I36" s="117"/>
      <c r="J36" s="117"/>
      <c r="K36" s="117"/>
      <c r="L36" s="117"/>
      <c r="M36" s="117"/>
      <c r="N36" s="117"/>
      <c r="O36" s="117"/>
      <c r="P36" s="57"/>
      <c r="Q36" s="89"/>
      <c r="R36" s="10"/>
      <c r="S36" s="10"/>
      <c r="T36" s="10"/>
      <c r="U36" s="10"/>
      <c r="V36" s="10"/>
      <c r="W36" s="10"/>
      <c r="X36" s="10"/>
      <c r="Y36" s="10"/>
      <c r="Z36" s="10"/>
    </row>
    <row r="37" ht="12.75" customHeight="1">
      <c r="A37" s="120" t="s">
        <v>1767</v>
      </c>
      <c r="B37" s="120" t="s">
        <v>1738</v>
      </c>
      <c r="C37" s="120" t="s">
        <v>1768</v>
      </c>
      <c r="D37" s="120" t="s">
        <v>1769</v>
      </c>
      <c r="E37" s="120" t="s">
        <v>1770</v>
      </c>
      <c r="F37" s="120" t="s">
        <v>227</v>
      </c>
      <c r="G37" s="122">
        <v>45928.0</v>
      </c>
      <c r="H37" s="120" t="s">
        <v>782</v>
      </c>
      <c r="I37" s="120" t="s">
        <v>227</v>
      </c>
      <c r="J37" s="130">
        <v>45960.0</v>
      </c>
      <c r="K37" s="120" t="s">
        <v>4</v>
      </c>
      <c r="L37" s="120" t="s">
        <v>227</v>
      </c>
      <c r="M37" s="130">
        <v>45986.0</v>
      </c>
      <c r="N37" s="120" t="s">
        <v>782</v>
      </c>
      <c r="O37" s="123"/>
      <c r="P37" s="57"/>
      <c r="Q37" s="89"/>
      <c r="R37" s="10"/>
      <c r="S37" s="10"/>
      <c r="T37" s="10"/>
      <c r="U37" s="10"/>
      <c r="V37" s="10"/>
      <c r="W37" s="10"/>
      <c r="X37" s="10"/>
      <c r="Y37" s="10"/>
      <c r="Z37" s="10"/>
    </row>
    <row r="38" ht="12.75" customHeight="1">
      <c r="A38" s="116" t="s">
        <v>105</v>
      </c>
      <c r="B38" s="117"/>
      <c r="C38" s="117"/>
      <c r="D38" s="117"/>
      <c r="E38" s="117"/>
      <c r="F38" s="117"/>
      <c r="G38" s="117"/>
      <c r="H38" s="157"/>
      <c r="I38" s="117"/>
      <c r="J38" s="117"/>
      <c r="K38" s="117"/>
      <c r="L38" s="117"/>
      <c r="M38" s="117"/>
      <c r="N38" s="117"/>
      <c r="O38" s="117"/>
      <c r="P38" s="57"/>
      <c r="Q38" s="89"/>
      <c r="R38" s="10"/>
      <c r="S38" s="10"/>
      <c r="T38" s="10"/>
      <c r="U38" s="10"/>
      <c r="V38" s="10"/>
      <c r="W38" s="10"/>
      <c r="X38" s="10"/>
      <c r="Y38" s="10"/>
      <c r="Z38" s="10"/>
    </row>
    <row r="39" ht="12.75" customHeight="1">
      <c r="A39" s="120" t="s">
        <v>1771</v>
      </c>
      <c r="B39" s="120" t="s">
        <v>1772</v>
      </c>
      <c r="C39" s="120" t="s">
        <v>1773</v>
      </c>
      <c r="D39" s="120" t="s">
        <v>1774</v>
      </c>
      <c r="E39" s="120" t="s">
        <v>1775</v>
      </c>
      <c r="F39" s="120" t="s">
        <v>229</v>
      </c>
      <c r="G39" s="122">
        <v>45928.0</v>
      </c>
      <c r="H39" s="120" t="s">
        <v>782</v>
      </c>
      <c r="I39" s="120" t="s">
        <v>229</v>
      </c>
      <c r="J39" s="130">
        <v>45960.0</v>
      </c>
      <c r="K39" s="120" t="s">
        <v>4</v>
      </c>
      <c r="L39" s="120" t="s">
        <v>229</v>
      </c>
      <c r="M39" s="130">
        <v>45986.0</v>
      </c>
      <c r="N39" s="120" t="s">
        <v>782</v>
      </c>
      <c r="O39" s="123"/>
      <c r="P39" s="57"/>
      <c r="Q39" s="89"/>
      <c r="R39" s="10"/>
      <c r="S39" s="10"/>
      <c r="T39" s="10"/>
      <c r="U39" s="10"/>
      <c r="V39" s="10"/>
      <c r="W39" s="10"/>
      <c r="X39" s="10"/>
      <c r="Y39" s="10"/>
      <c r="Z39" s="10"/>
    </row>
    <row r="40" ht="12.75" customHeight="1">
      <c r="A40" s="120" t="s">
        <v>1776</v>
      </c>
      <c r="B40" s="120" t="s">
        <v>1777</v>
      </c>
      <c r="C40" s="120" t="s">
        <v>1778</v>
      </c>
      <c r="D40" s="120" t="s">
        <v>1779</v>
      </c>
      <c r="E40" s="120" t="s">
        <v>1780</v>
      </c>
      <c r="F40" s="120" t="s">
        <v>227</v>
      </c>
      <c r="G40" s="122">
        <v>45928.0</v>
      </c>
      <c r="H40" s="158" t="s">
        <v>782</v>
      </c>
      <c r="I40" s="120" t="s">
        <v>227</v>
      </c>
      <c r="J40" s="130">
        <v>45960.0</v>
      </c>
      <c r="K40" s="120" t="s">
        <v>4</v>
      </c>
      <c r="L40" s="120" t="s">
        <v>227</v>
      </c>
      <c r="M40" s="130">
        <v>45986.0</v>
      </c>
      <c r="N40" s="120" t="s">
        <v>782</v>
      </c>
      <c r="O40" s="79"/>
      <c r="P40" s="57"/>
      <c r="Q40" s="89"/>
      <c r="R40" s="10"/>
      <c r="S40" s="10"/>
      <c r="T40" s="10"/>
      <c r="U40" s="10"/>
      <c r="V40" s="10"/>
      <c r="W40" s="10"/>
      <c r="X40" s="10"/>
      <c r="Y40" s="10"/>
      <c r="Z40" s="10"/>
    </row>
    <row r="41" ht="12.75" customHeight="1">
      <c r="A41" s="116" t="s">
        <v>1781</v>
      </c>
      <c r="B41" s="117"/>
      <c r="C41" s="117"/>
      <c r="D41" s="117"/>
      <c r="E41" s="117"/>
      <c r="F41" s="117"/>
      <c r="G41" s="117"/>
      <c r="H41" s="157"/>
      <c r="I41" s="117"/>
      <c r="J41" s="117"/>
      <c r="K41" s="117"/>
      <c r="L41" s="117"/>
      <c r="M41" s="117"/>
      <c r="N41" s="117"/>
      <c r="O41" s="117"/>
      <c r="P41" s="57"/>
      <c r="Q41" s="89"/>
      <c r="R41" s="10"/>
      <c r="S41" s="10"/>
      <c r="T41" s="10"/>
      <c r="U41" s="10"/>
      <c r="V41" s="10"/>
      <c r="W41" s="10"/>
      <c r="X41" s="10"/>
      <c r="Y41" s="10"/>
      <c r="Z41" s="10"/>
    </row>
    <row r="42" ht="12.75" customHeight="1">
      <c r="A42" s="120" t="s">
        <v>1782</v>
      </c>
      <c r="B42" s="120" t="s">
        <v>1783</v>
      </c>
      <c r="C42" s="120" t="s">
        <v>1784</v>
      </c>
      <c r="D42" s="120" t="s">
        <v>1785</v>
      </c>
      <c r="E42" s="120" t="s">
        <v>1710</v>
      </c>
      <c r="F42" s="120" t="s">
        <v>227</v>
      </c>
      <c r="G42" s="122">
        <v>45928.0</v>
      </c>
      <c r="H42" s="120" t="s">
        <v>782</v>
      </c>
      <c r="I42" s="120" t="s">
        <v>227</v>
      </c>
      <c r="J42" s="130">
        <v>45960.0</v>
      </c>
      <c r="K42" s="120" t="s">
        <v>4</v>
      </c>
      <c r="L42" s="120" t="s">
        <v>227</v>
      </c>
      <c r="M42" s="130">
        <v>45986.0</v>
      </c>
      <c r="N42" s="120" t="s">
        <v>782</v>
      </c>
      <c r="O42" s="123"/>
      <c r="P42" s="57"/>
      <c r="Q42" s="89"/>
      <c r="R42" s="10"/>
      <c r="S42" s="10"/>
      <c r="T42" s="10"/>
      <c r="U42" s="10"/>
      <c r="V42" s="10"/>
      <c r="W42" s="10"/>
      <c r="X42" s="10"/>
      <c r="Y42" s="10"/>
      <c r="Z42" s="10"/>
    </row>
    <row r="43" ht="12.75" customHeight="1">
      <c r="A43" s="120" t="s">
        <v>1786</v>
      </c>
      <c r="B43" s="120" t="s">
        <v>1787</v>
      </c>
      <c r="C43" s="120" t="s">
        <v>1788</v>
      </c>
      <c r="D43" s="120" t="s">
        <v>1789</v>
      </c>
      <c r="E43" s="120" t="s">
        <v>1710</v>
      </c>
      <c r="F43" s="120" t="s">
        <v>227</v>
      </c>
      <c r="G43" s="122">
        <v>45928.0</v>
      </c>
      <c r="H43" s="158" t="s">
        <v>782</v>
      </c>
      <c r="I43" s="120" t="s">
        <v>227</v>
      </c>
      <c r="J43" s="130">
        <v>45960.0</v>
      </c>
      <c r="K43" s="120" t="s">
        <v>4</v>
      </c>
      <c r="L43" s="120" t="s">
        <v>228</v>
      </c>
      <c r="M43" s="130">
        <v>45986.0</v>
      </c>
      <c r="N43" s="120" t="s">
        <v>782</v>
      </c>
      <c r="O43" s="79"/>
      <c r="P43" s="57"/>
      <c r="Q43" s="89"/>
      <c r="R43" s="10"/>
      <c r="S43" s="10"/>
      <c r="T43" s="10"/>
      <c r="U43" s="10"/>
      <c r="V43" s="10"/>
      <c r="W43" s="10"/>
      <c r="X43" s="10"/>
      <c r="Y43" s="10"/>
      <c r="Z43" s="10"/>
    </row>
    <row r="44" ht="12.75" customHeight="1">
      <c r="A44" s="120" t="s">
        <v>1790</v>
      </c>
      <c r="B44" s="120" t="s">
        <v>1791</v>
      </c>
      <c r="C44" s="120" t="s">
        <v>1792</v>
      </c>
      <c r="D44" s="120" t="s">
        <v>1793</v>
      </c>
      <c r="E44" s="120" t="s">
        <v>1710</v>
      </c>
      <c r="F44" s="120" t="s">
        <v>229</v>
      </c>
      <c r="G44" s="122">
        <v>45928.0</v>
      </c>
      <c r="H44" s="158" t="s">
        <v>782</v>
      </c>
      <c r="I44" s="120" t="s">
        <v>229</v>
      </c>
      <c r="J44" s="130">
        <v>45960.0</v>
      </c>
      <c r="K44" s="120" t="s">
        <v>4</v>
      </c>
      <c r="L44" s="120" t="s">
        <v>229</v>
      </c>
      <c r="M44" s="130">
        <v>45986.0</v>
      </c>
      <c r="N44" s="120" t="s">
        <v>782</v>
      </c>
      <c r="O44" s="79"/>
      <c r="P44" s="57"/>
      <c r="Q44" s="89"/>
      <c r="R44" s="10"/>
      <c r="S44" s="10"/>
      <c r="T44" s="10"/>
      <c r="U44" s="10"/>
      <c r="V44" s="10"/>
      <c r="W44" s="10"/>
      <c r="X44" s="10"/>
      <c r="Y44" s="10"/>
      <c r="Z44" s="10"/>
    </row>
    <row r="45" ht="12.75" customHeight="1">
      <c r="A45" s="84"/>
      <c r="B45" s="84"/>
      <c r="C45" s="84"/>
      <c r="D45" s="84"/>
      <c r="E45" s="84"/>
      <c r="F45" s="84"/>
      <c r="G45" s="84"/>
      <c r="H45" s="84"/>
      <c r="I45" s="84"/>
      <c r="J45" s="84"/>
      <c r="K45" s="84"/>
      <c r="L45" s="84"/>
      <c r="M45" s="84"/>
      <c r="N45" s="84"/>
      <c r="O45" s="84"/>
      <c r="P45" s="10"/>
      <c r="Q45" s="8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8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8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8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8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8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8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8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8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8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8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8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8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8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8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8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8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8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8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8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8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8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8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8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8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8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8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8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8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8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8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8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8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8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8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8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8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8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8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8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8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8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8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8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8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8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8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8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8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8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8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8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8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8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8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8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8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8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8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8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8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8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8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8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8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8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8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8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8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8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8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8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8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8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8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8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8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8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8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8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8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8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8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8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8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8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8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8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8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8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8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8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8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8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8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8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8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8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8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8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8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8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8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8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8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8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8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8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8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8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8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8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8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8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8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8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8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8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8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8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8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8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8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8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8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8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8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8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8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8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8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8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8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8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8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8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8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8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8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8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8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8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8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8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8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8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8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8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8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8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8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8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8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8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8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8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8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8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8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8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8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8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8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8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8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8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8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8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8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8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8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8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8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8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8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8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8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8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8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8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8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8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8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8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8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8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8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8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8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8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8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8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8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8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8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8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8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8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8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8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8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8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8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8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8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8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8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8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8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8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8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8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8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8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8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8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8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8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8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8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8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8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8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8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8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8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8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8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8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8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8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8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8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8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8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8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8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8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8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8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8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8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8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8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8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8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8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8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8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8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8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8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8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8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8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8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8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8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8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8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8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8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8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8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8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8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8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8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8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8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8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8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8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8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8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8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8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8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8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8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8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8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8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8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8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8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8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8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8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8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8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8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8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8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8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8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8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8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8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8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8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8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8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8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8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8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8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8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8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8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8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8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8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8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8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8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8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8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8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8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8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8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8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8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8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8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8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8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8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8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8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8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8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8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8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8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8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8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8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8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8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8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8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8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8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8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8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8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8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8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8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8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8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8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8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8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8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8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8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8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8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8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8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8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8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8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8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8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8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8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8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8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8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8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8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8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8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8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8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8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8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8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8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8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8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8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8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8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8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8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8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8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8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8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8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8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8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8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8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8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8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8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8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8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8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8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8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8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8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8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8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8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8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8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8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8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8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8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8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8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8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8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8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8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8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8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8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8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8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8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8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8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8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8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8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8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8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8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8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8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8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8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8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8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8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8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8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8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8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8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8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8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8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8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8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8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8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8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8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8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8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8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8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8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8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8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8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8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8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8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8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8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8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8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8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8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8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8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8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8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8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8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8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8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8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8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8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8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8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8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8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8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8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8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8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8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8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8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8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8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8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8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8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8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8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8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8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8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8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8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8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8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8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8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8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8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8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8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8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8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8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8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8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8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8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8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8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8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8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8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8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8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8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8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8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8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8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8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8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8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8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8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8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8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8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8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8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8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8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8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8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8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8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8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8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8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8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8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8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8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8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8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8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8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8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8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8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8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8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8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8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8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8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8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8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8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8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8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8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8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8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8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8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8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8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8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8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8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8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8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8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8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8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8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8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8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8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8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8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8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8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8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8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8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8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8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8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8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8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8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8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8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8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8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8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8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8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8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8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8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8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8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8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8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8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8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8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8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8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8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8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8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8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8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8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8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8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8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8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8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8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8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8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8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8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8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8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8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8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8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8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8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8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8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8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8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8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8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8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8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8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8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8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8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8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8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8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8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8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8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8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8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8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8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8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8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8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8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8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8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8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8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8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8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8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8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8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8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8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8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8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8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8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8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8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8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8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8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8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8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8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8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8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8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8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8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8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8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8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8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8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8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8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8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8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8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8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8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8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8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8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8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8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8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8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8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8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8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8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8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8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8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8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8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8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8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8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8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8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8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8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8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8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8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8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8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8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8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8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8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8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8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8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8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8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8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8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8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8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8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8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8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8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8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8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8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8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8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8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8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8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8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8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8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8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8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8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8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8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8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8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8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8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8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8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8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8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8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8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8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8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8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8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8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8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8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8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8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8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8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8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8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8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8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8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8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8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8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8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8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8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8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8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8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8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8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8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8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8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8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8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8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8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8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8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8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8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8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8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8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8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8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8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8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8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8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8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8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8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8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8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8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8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8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8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8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8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8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8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8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8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8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8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8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89"/>
      <c r="R899" s="10"/>
      <c r="S899" s="10"/>
      <c r="T899" s="10"/>
      <c r="U899" s="10"/>
      <c r="V899" s="10"/>
      <c r="W899" s="10"/>
      <c r="X899" s="10"/>
      <c r="Y899" s="10"/>
      <c r="Z899" s="10"/>
    </row>
  </sheetData>
  <mergeCells count="3">
    <mergeCell ref="B2:E2"/>
    <mergeCell ref="B3:E3"/>
    <mergeCell ref="B4:E4"/>
  </mergeCells>
  <dataValidations>
    <dataValidation type="list" allowBlank="1" showErrorMessage="1" sqref="G2:G3 J2:J3 M2:M3 G9 J9 M9 F12:F44 I12:I44 L12:L44">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9.13" outlineLevel="1"/>
    <col customWidth="1" min="9" max="9" width="9.38"/>
    <col customWidth="1" min="10" max="10" width="10.63" outlineLevel="1"/>
    <col customWidth="1" min="11" max="11" width="12.63" outlineLevel="1"/>
    <col customWidth="1" min="12" max="12" width="9.38"/>
    <col customWidth="1" min="13" max="13" width="10.63" outlineLevel="1"/>
    <col customWidth="1" min="14" max="14" width="10.25"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89"/>
      <c r="R1" s="10"/>
      <c r="S1" s="10"/>
      <c r="T1" s="10"/>
      <c r="U1" s="10"/>
      <c r="V1" s="10"/>
      <c r="W1" s="10"/>
      <c r="X1" s="10"/>
      <c r="Y1" s="10"/>
      <c r="Z1" s="10"/>
    </row>
    <row r="2" ht="15.0" customHeight="1">
      <c r="A2" s="90" t="s">
        <v>236</v>
      </c>
      <c r="B2" s="91" t="s">
        <v>116</v>
      </c>
      <c r="C2" s="92"/>
      <c r="D2" s="92"/>
      <c r="E2" s="93"/>
      <c r="F2" s="94"/>
      <c r="G2" s="95"/>
      <c r="H2" s="40"/>
      <c r="I2" s="94"/>
      <c r="J2" s="95"/>
      <c r="K2" s="40"/>
      <c r="L2" s="94"/>
      <c r="M2" s="95"/>
      <c r="N2" s="40"/>
      <c r="O2" s="40"/>
      <c r="P2" s="40"/>
      <c r="Q2" s="96"/>
      <c r="R2" s="97" t="s">
        <v>227</v>
      </c>
      <c r="S2" s="97"/>
      <c r="T2" s="97"/>
      <c r="U2" s="97"/>
      <c r="V2" s="97"/>
      <c r="W2" s="97"/>
      <c r="X2" s="97"/>
      <c r="Y2" s="97"/>
      <c r="Z2" s="97"/>
    </row>
    <row r="3" ht="12.75" customHeight="1">
      <c r="A3" s="98" t="s">
        <v>237</v>
      </c>
      <c r="B3" s="99" t="s">
        <v>1794</v>
      </c>
      <c r="C3" s="5"/>
      <c r="D3" s="5"/>
      <c r="E3" s="100"/>
      <c r="F3" s="94"/>
      <c r="G3" s="95"/>
      <c r="H3" s="40"/>
      <c r="I3" s="94"/>
      <c r="J3" s="95"/>
      <c r="K3" s="40"/>
      <c r="L3" s="94"/>
      <c r="M3" s="95"/>
      <c r="N3" s="40"/>
      <c r="O3" s="40"/>
      <c r="P3" s="40"/>
      <c r="Q3" s="96"/>
      <c r="R3" s="97" t="s">
        <v>228</v>
      </c>
      <c r="S3" s="97"/>
      <c r="T3" s="97"/>
      <c r="U3" s="97"/>
      <c r="V3" s="97"/>
      <c r="W3" s="97"/>
      <c r="X3" s="97"/>
      <c r="Y3" s="97"/>
      <c r="Z3" s="97"/>
    </row>
    <row r="4" ht="18.0" customHeight="1">
      <c r="A4" s="98" t="s">
        <v>239</v>
      </c>
      <c r="B4" s="127">
        <f>COUNTA(A12:A923)-6</f>
        <v>54</v>
      </c>
      <c r="C4" s="5"/>
      <c r="D4" s="5"/>
      <c r="E4" s="100"/>
      <c r="F4" s="94"/>
      <c r="G4" s="95"/>
      <c r="H4" s="40"/>
      <c r="I4" s="94"/>
      <c r="J4" s="95"/>
      <c r="K4" s="40"/>
      <c r="L4" s="94"/>
      <c r="M4" s="95"/>
      <c r="N4" s="40"/>
      <c r="O4" s="40"/>
      <c r="P4" s="40"/>
      <c r="Q4" s="96"/>
      <c r="R4" s="97" t="s">
        <v>229</v>
      </c>
      <c r="S4" s="97"/>
      <c r="T4" s="97"/>
      <c r="U4" s="97"/>
      <c r="V4" s="97"/>
      <c r="W4" s="97"/>
      <c r="X4" s="97"/>
      <c r="Y4" s="97"/>
      <c r="Z4" s="97"/>
    </row>
    <row r="5" ht="19.5" customHeight="1">
      <c r="A5" s="101" t="s">
        <v>240</v>
      </c>
      <c r="B5" s="102" t="s">
        <v>227</v>
      </c>
      <c r="C5" s="102" t="s">
        <v>228</v>
      </c>
      <c r="D5" s="102" t="s">
        <v>229</v>
      </c>
      <c r="E5" s="103" t="s">
        <v>230</v>
      </c>
      <c r="F5" s="104"/>
      <c r="G5" s="104"/>
      <c r="H5" s="105"/>
      <c r="I5" s="104"/>
      <c r="J5" s="104"/>
      <c r="K5" s="105"/>
      <c r="L5" s="104"/>
      <c r="M5" s="104"/>
      <c r="N5" s="105"/>
      <c r="O5" s="105"/>
      <c r="P5" s="105"/>
      <c r="Q5" s="106"/>
      <c r="R5" s="97" t="s">
        <v>230</v>
      </c>
      <c r="S5" s="97"/>
      <c r="T5" s="97"/>
      <c r="U5" s="97"/>
      <c r="V5" s="97"/>
      <c r="W5" s="97"/>
      <c r="X5" s="97"/>
      <c r="Y5" s="97"/>
      <c r="Z5" s="97"/>
    </row>
    <row r="6" ht="15.0" customHeight="1">
      <c r="A6" s="101" t="s">
        <v>241</v>
      </c>
      <c r="B6" s="107">
        <f t="shared" ref="B6:E6" si="1">COUNTIF($F10:$F921,B5)</f>
        <v>50</v>
      </c>
      <c r="C6" s="107">
        <f t="shared" si="1"/>
        <v>4</v>
      </c>
      <c r="D6" s="107">
        <f t="shared" si="1"/>
        <v>0</v>
      </c>
      <c r="E6" s="108">
        <f t="shared" si="1"/>
        <v>0</v>
      </c>
      <c r="F6" s="109"/>
      <c r="G6" s="109"/>
      <c r="H6" s="105"/>
      <c r="I6" s="109"/>
      <c r="J6" s="109"/>
      <c r="K6" s="105"/>
      <c r="L6" s="109"/>
      <c r="M6" s="109"/>
      <c r="N6" s="105"/>
      <c r="O6" s="105"/>
      <c r="P6" s="105"/>
      <c r="Q6" s="106"/>
      <c r="R6" s="97"/>
      <c r="S6" s="97"/>
      <c r="T6" s="97"/>
      <c r="U6" s="97"/>
      <c r="V6" s="97"/>
      <c r="W6" s="97"/>
      <c r="X6" s="97"/>
      <c r="Y6" s="97"/>
      <c r="Z6" s="97"/>
    </row>
    <row r="7" ht="15.0" customHeight="1">
      <c r="A7" s="101" t="s">
        <v>242</v>
      </c>
      <c r="B7" s="107">
        <f>COUNTIF($I10:$I895,B5)</f>
        <v>53</v>
      </c>
      <c r="C7" s="107">
        <f>COUNTIF($I10:$FI895,C5)</f>
        <v>1</v>
      </c>
      <c r="D7" s="107">
        <f t="shared" ref="D7:E7" si="2">COUNTIF($F10:$F921,D5)</f>
        <v>0</v>
      </c>
      <c r="E7" s="108">
        <f t="shared" si="2"/>
        <v>0</v>
      </c>
      <c r="F7" s="109"/>
      <c r="G7" s="109"/>
      <c r="H7" s="105"/>
      <c r="I7" s="109"/>
      <c r="J7" s="109"/>
      <c r="K7" s="105"/>
      <c r="L7" s="109"/>
      <c r="M7" s="109"/>
      <c r="N7" s="105"/>
      <c r="O7" s="105"/>
      <c r="P7" s="105"/>
      <c r="Q7" s="106"/>
      <c r="R7" s="97"/>
      <c r="S7" s="97"/>
      <c r="T7" s="97"/>
      <c r="U7" s="97"/>
      <c r="V7" s="97"/>
      <c r="W7" s="97"/>
      <c r="X7" s="97"/>
      <c r="Y7" s="97"/>
      <c r="Z7" s="97"/>
    </row>
    <row r="8" ht="15.0" customHeight="1">
      <c r="A8" s="110" t="s">
        <v>243</v>
      </c>
      <c r="B8" s="111">
        <f t="shared" ref="B8:C8" si="3">COUNTIF($L10:$L895,B5)</f>
        <v>54</v>
      </c>
      <c r="C8" s="111">
        <f t="shared" si="3"/>
        <v>0</v>
      </c>
      <c r="D8" s="111">
        <f t="shared" ref="D8:E8" si="4">COUNTIF($F10:$F921,D5)</f>
        <v>0</v>
      </c>
      <c r="E8" s="112">
        <f t="shared" si="4"/>
        <v>0</v>
      </c>
      <c r="F8" s="109"/>
      <c r="G8" s="109"/>
      <c r="H8" s="105"/>
      <c r="I8" s="109"/>
      <c r="J8" s="109"/>
      <c r="K8" s="105"/>
      <c r="L8" s="109"/>
      <c r="M8" s="109"/>
      <c r="N8" s="105"/>
      <c r="O8" s="105"/>
      <c r="P8" s="105"/>
      <c r="Q8" s="106"/>
      <c r="R8" s="97"/>
      <c r="S8" s="97"/>
      <c r="T8" s="97"/>
      <c r="U8" s="97"/>
      <c r="V8" s="97"/>
      <c r="W8" s="97"/>
      <c r="X8" s="97"/>
      <c r="Y8" s="97"/>
      <c r="Z8" s="97"/>
    </row>
    <row r="9" ht="15.0" customHeight="1">
      <c r="A9" s="105"/>
      <c r="B9" s="105"/>
      <c r="C9" s="105"/>
      <c r="D9" s="105"/>
      <c r="E9" s="105"/>
      <c r="F9" s="88"/>
      <c r="G9" s="105"/>
      <c r="H9" s="105"/>
      <c r="I9" s="88"/>
      <c r="J9" s="105"/>
      <c r="K9" s="105"/>
      <c r="L9" s="88"/>
      <c r="M9" s="105"/>
      <c r="N9" s="105"/>
      <c r="O9" s="105"/>
      <c r="P9" s="105"/>
      <c r="Q9" s="106"/>
      <c r="R9" s="97"/>
      <c r="S9" s="97"/>
      <c r="T9" s="97"/>
      <c r="U9" s="97"/>
      <c r="V9" s="97"/>
      <c r="W9" s="97"/>
      <c r="X9" s="97"/>
      <c r="Y9" s="97"/>
      <c r="Z9" s="97"/>
    </row>
    <row r="10" ht="25.5" customHeight="1">
      <c r="A10" s="114" t="s">
        <v>244</v>
      </c>
      <c r="B10" s="114" t="s">
        <v>245</v>
      </c>
      <c r="C10" s="114" t="s">
        <v>246</v>
      </c>
      <c r="D10" s="114" t="s">
        <v>247</v>
      </c>
      <c r="E10" s="114" t="s">
        <v>248</v>
      </c>
      <c r="F10" s="114" t="s">
        <v>241</v>
      </c>
      <c r="G10" s="114" t="s">
        <v>249</v>
      </c>
      <c r="H10" s="114" t="s">
        <v>250</v>
      </c>
      <c r="I10" s="114" t="s">
        <v>242</v>
      </c>
      <c r="J10" s="114" t="s">
        <v>249</v>
      </c>
      <c r="K10" s="114" t="s">
        <v>250</v>
      </c>
      <c r="L10" s="114" t="s">
        <v>243</v>
      </c>
      <c r="M10" s="114" t="s">
        <v>249</v>
      </c>
      <c r="N10" s="114" t="s">
        <v>250</v>
      </c>
      <c r="O10" s="114" t="s">
        <v>251</v>
      </c>
      <c r="P10" s="97"/>
      <c r="Q10" s="115"/>
      <c r="R10" s="97"/>
      <c r="S10" s="97"/>
      <c r="T10" s="97"/>
      <c r="U10" s="97"/>
      <c r="V10" s="97"/>
      <c r="W10" s="97"/>
      <c r="X10" s="97"/>
      <c r="Y10" s="97"/>
      <c r="Z10" s="97"/>
    </row>
    <row r="11" ht="15.75" customHeight="1">
      <c r="A11" s="116" t="s">
        <v>1795</v>
      </c>
      <c r="B11" s="117"/>
      <c r="C11" s="117"/>
      <c r="D11" s="117"/>
      <c r="E11" s="117"/>
      <c r="F11" s="117"/>
      <c r="G11" s="117"/>
      <c r="H11" s="117"/>
      <c r="I11" s="117"/>
      <c r="J11" s="117"/>
      <c r="K11" s="117"/>
      <c r="L11" s="117"/>
      <c r="M11" s="117"/>
      <c r="N11" s="117"/>
      <c r="O11" s="117"/>
      <c r="P11" s="118"/>
      <c r="Q11" s="119"/>
      <c r="R11" s="97"/>
      <c r="S11" s="97"/>
      <c r="T11" s="97"/>
      <c r="U11" s="97"/>
      <c r="V11" s="97"/>
      <c r="W11" s="97"/>
      <c r="X11" s="97"/>
      <c r="Y11" s="97"/>
      <c r="Z11" s="97"/>
    </row>
    <row r="12" ht="12.75" customHeight="1" outlineLevel="1">
      <c r="A12" s="120" t="s">
        <v>1796</v>
      </c>
      <c r="B12" s="120" t="s">
        <v>1797</v>
      </c>
      <c r="C12" s="120" t="s">
        <v>1798</v>
      </c>
      <c r="D12" s="121" t="s">
        <v>1799</v>
      </c>
      <c r="E12" s="121" t="s">
        <v>1679</v>
      </c>
      <c r="F12" s="120" t="s">
        <v>228</v>
      </c>
      <c r="G12" s="122">
        <v>45928.0</v>
      </c>
      <c r="H12" s="120" t="s">
        <v>259</v>
      </c>
      <c r="I12" s="120" t="s">
        <v>227</v>
      </c>
      <c r="J12" s="130">
        <v>45960.0</v>
      </c>
      <c r="K12" s="120" t="s">
        <v>4</v>
      </c>
      <c r="L12" s="120" t="s">
        <v>227</v>
      </c>
      <c r="M12" s="130">
        <v>45986.0</v>
      </c>
      <c r="N12" s="120" t="s">
        <v>4</v>
      </c>
      <c r="O12" s="123"/>
      <c r="P12" s="57"/>
      <c r="Q12" s="124"/>
      <c r="R12" s="10"/>
      <c r="S12" s="10"/>
      <c r="T12" s="10"/>
      <c r="U12" s="10"/>
      <c r="V12" s="10"/>
      <c r="W12" s="10"/>
      <c r="X12" s="10"/>
      <c r="Y12" s="10"/>
      <c r="Z12" s="10"/>
    </row>
    <row r="13" ht="12.75" customHeight="1" outlineLevel="1">
      <c r="A13" s="120" t="s">
        <v>1800</v>
      </c>
      <c r="B13" s="120" t="s">
        <v>1801</v>
      </c>
      <c r="C13" s="120" t="s">
        <v>1802</v>
      </c>
      <c r="D13" s="121" t="s">
        <v>1803</v>
      </c>
      <c r="E13" s="121" t="s">
        <v>1679</v>
      </c>
      <c r="F13" s="120" t="s">
        <v>227</v>
      </c>
      <c r="G13" s="122">
        <v>45928.0</v>
      </c>
      <c r="H13" s="120" t="s">
        <v>259</v>
      </c>
      <c r="I13" s="120" t="s">
        <v>227</v>
      </c>
      <c r="J13" s="130">
        <v>45960.0</v>
      </c>
      <c r="K13" s="120" t="s">
        <v>4</v>
      </c>
      <c r="L13" s="120" t="s">
        <v>227</v>
      </c>
      <c r="M13" s="130">
        <v>45986.0</v>
      </c>
      <c r="N13" s="120" t="s">
        <v>4</v>
      </c>
      <c r="O13" s="123"/>
      <c r="P13" s="57"/>
      <c r="Q13" s="124"/>
      <c r="R13" s="10"/>
      <c r="S13" s="10"/>
      <c r="T13" s="10"/>
      <c r="U13" s="10"/>
      <c r="V13" s="10"/>
      <c r="W13" s="10"/>
      <c r="X13" s="10"/>
      <c r="Y13" s="10"/>
      <c r="Z13" s="10"/>
    </row>
    <row r="14" ht="12.75" customHeight="1" outlineLevel="1">
      <c r="A14" s="120" t="s">
        <v>1804</v>
      </c>
      <c r="B14" s="120" t="s">
        <v>1805</v>
      </c>
      <c r="C14" s="120" t="s">
        <v>1806</v>
      </c>
      <c r="D14" s="121" t="s">
        <v>1807</v>
      </c>
      <c r="E14" s="121" t="s">
        <v>685</v>
      </c>
      <c r="F14" s="120" t="s">
        <v>227</v>
      </c>
      <c r="G14" s="122">
        <v>45928.0</v>
      </c>
      <c r="H14" s="120" t="s">
        <v>259</v>
      </c>
      <c r="I14" s="120" t="s">
        <v>228</v>
      </c>
      <c r="J14" s="130">
        <v>45960.0</v>
      </c>
      <c r="K14" s="120" t="s">
        <v>4</v>
      </c>
      <c r="L14" s="120" t="s">
        <v>227</v>
      </c>
      <c r="M14" s="130">
        <v>45986.0</v>
      </c>
      <c r="N14" s="120" t="s">
        <v>4</v>
      </c>
      <c r="O14" s="123"/>
      <c r="P14" s="57"/>
      <c r="Q14" s="124"/>
      <c r="R14" s="10"/>
      <c r="S14" s="10"/>
      <c r="T14" s="10"/>
      <c r="U14" s="10"/>
      <c r="V14" s="10"/>
      <c r="W14" s="10"/>
      <c r="X14" s="10"/>
      <c r="Y14" s="10"/>
      <c r="Z14" s="10"/>
    </row>
    <row r="15" ht="12.75" customHeight="1" outlineLevel="1">
      <c r="A15" s="120" t="s">
        <v>1808</v>
      </c>
      <c r="B15" s="120" t="s">
        <v>1809</v>
      </c>
      <c r="C15" s="120" t="s">
        <v>1810</v>
      </c>
      <c r="D15" s="121" t="s">
        <v>1811</v>
      </c>
      <c r="E15" s="121" t="s">
        <v>1812</v>
      </c>
      <c r="F15" s="120" t="s">
        <v>227</v>
      </c>
      <c r="G15" s="122">
        <v>45928.0</v>
      </c>
      <c r="H15" s="120" t="s">
        <v>259</v>
      </c>
      <c r="I15" s="120" t="s">
        <v>227</v>
      </c>
      <c r="J15" s="130">
        <v>45960.0</v>
      </c>
      <c r="K15" s="120" t="s">
        <v>4</v>
      </c>
      <c r="L15" s="120" t="s">
        <v>227</v>
      </c>
      <c r="M15" s="130">
        <v>45986.0</v>
      </c>
      <c r="N15" s="120" t="s">
        <v>4</v>
      </c>
      <c r="O15" s="123"/>
      <c r="P15" s="57"/>
      <c r="Q15" s="124"/>
      <c r="R15" s="10"/>
      <c r="S15" s="10"/>
      <c r="T15" s="10"/>
      <c r="U15" s="10"/>
      <c r="V15" s="10"/>
      <c r="W15" s="10"/>
      <c r="X15" s="10"/>
      <c r="Y15" s="10"/>
      <c r="Z15" s="10"/>
    </row>
    <row r="16" ht="12.75" customHeight="1" outlineLevel="1">
      <c r="A16" s="120" t="s">
        <v>1813</v>
      </c>
      <c r="B16" s="120" t="s">
        <v>1814</v>
      </c>
      <c r="C16" s="120" t="s">
        <v>1815</v>
      </c>
      <c r="D16" s="121" t="s">
        <v>1816</v>
      </c>
      <c r="E16" s="121" t="s">
        <v>1817</v>
      </c>
      <c r="F16" s="120" t="s">
        <v>228</v>
      </c>
      <c r="G16" s="122">
        <v>45928.0</v>
      </c>
      <c r="H16" s="120" t="s">
        <v>259</v>
      </c>
      <c r="I16" s="120" t="s">
        <v>227</v>
      </c>
      <c r="J16" s="130">
        <v>45960.0</v>
      </c>
      <c r="K16" s="120" t="s">
        <v>4</v>
      </c>
      <c r="L16" s="120" t="s">
        <v>227</v>
      </c>
      <c r="M16" s="130">
        <v>45986.0</v>
      </c>
      <c r="N16" s="120" t="s">
        <v>4</v>
      </c>
      <c r="O16" s="123"/>
      <c r="P16" s="57"/>
      <c r="Q16" s="124"/>
      <c r="R16" s="10"/>
      <c r="S16" s="10"/>
      <c r="T16" s="10"/>
      <c r="U16" s="10"/>
      <c r="V16" s="10"/>
      <c r="W16" s="10"/>
      <c r="X16" s="10"/>
      <c r="Y16" s="10"/>
      <c r="Z16" s="10"/>
    </row>
    <row r="17" ht="12.75" customHeight="1" outlineLevel="1">
      <c r="A17" s="120" t="s">
        <v>1818</v>
      </c>
      <c r="B17" s="120" t="s">
        <v>1819</v>
      </c>
      <c r="C17" s="120" t="s">
        <v>1820</v>
      </c>
      <c r="D17" s="121" t="s">
        <v>1821</v>
      </c>
      <c r="E17" s="121" t="s">
        <v>1822</v>
      </c>
      <c r="F17" s="120" t="s">
        <v>227</v>
      </c>
      <c r="G17" s="122">
        <v>45928.0</v>
      </c>
      <c r="H17" s="120" t="s">
        <v>259</v>
      </c>
      <c r="I17" s="120" t="s">
        <v>227</v>
      </c>
      <c r="J17" s="130">
        <v>45960.0</v>
      </c>
      <c r="K17" s="120" t="s">
        <v>4</v>
      </c>
      <c r="L17" s="120" t="s">
        <v>227</v>
      </c>
      <c r="M17" s="130">
        <v>45986.0</v>
      </c>
      <c r="N17" s="120" t="s">
        <v>4</v>
      </c>
      <c r="O17" s="123"/>
      <c r="P17" s="57"/>
      <c r="Q17" s="124"/>
      <c r="R17" s="10"/>
      <c r="S17" s="10"/>
      <c r="T17" s="10"/>
      <c r="U17" s="10"/>
      <c r="V17" s="10"/>
      <c r="W17" s="10"/>
      <c r="X17" s="10"/>
      <c r="Y17" s="10"/>
      <c r="Z17" s="10"/>
    </row>
    <row r="18" ht="12.75" customHeight="1" outlineLevel="1">
      <c r="A18" s="120" t="s">
        <v>1823</v>
      </c>
      <c r="B18" s="120" t="s">
        <v>1824</v>
      </c>
      <c r="C18" s="120" t="s">
        <v>1825</v>
      </c>
      <c r="D18" s="121" t="s">
        <v>1826</v>
      </c>
      <c r="E18" s="121" t="s">
        <v>1827</v>
      </c>
      <c r="F18" s="120" t="s">
        <v>227</v>
      </c>
      <c r="G18" s="122">
        <v>45928.0</v>
      </c>
      <c r="H18" s="120" t="s">
        <v>259</v>
      </c>
      <c r="I18" s="120" t="s">
        <v>227</v>
      </c>
      <c r="J18" s="130">
        <v>45960.0</v>
      </c>
      <c r="K18" s="120" t="s">
        <v>4</v>
      </c>
      <c r="L18" s="120" t="s">
        <v>227</v>
      </c>
      <c r="M18" s="130">
        <v>45986.0</v>
      </c>
      <c r="N18" s="120" t="s">
        <v>4</v>
      </c>
      <c r="O18" s="123"/>
      <c r="P18" s="57"/>
      <c r="Q18" s="124"/>
      <c r="R18" s="10"/>
      <c r="S18" s="10"/>
      <c r="T18" s="10"/>
      <c r="U18" s="10"/>
      <c r="V18" s="10"/>
      <c r="W18" s="10"/>
      <c r="X18" s="10"/>
      <c r="Y18" s="10"/>
      <c r="Z18" s="10"/>
    </row>
    <row r="19" ht="12.75" customHeight="1" outlineLevel="1">
      <c r="A19" s="120" t="s">
        <v>1828</v>
      </c>
      <c r="B19" s="120" t="s">
        <v>1829</v>
      </c>
      <c r="C19" s="120" t="s">
        <v>1830</v>
      </c>
      <c r="D19" s="121" t="s">
        <v>1831</v>
      </c>
      <c r="E19" s="121" t="s">
        <v>1832</v>
      </c>
      <c r="F19" s="120" t="s">
        <v>227</v>
      </c>
      <c r="G19" s="122">
        <v>45928.0</v>
      </c>
      <c r="H19" s="120" t="s">
        <v>259</v>
      </c>
      <c r="I19" s="120" t="s">
        <v>227</v>
      </c>
      <c r="J19" s="130">
        <v>45960.0</v>
      </c>
      <c r="K19" s="120" t="s">
        <v>4</v>
      </c>
      <c r="L19" s="120" t="s">
        <v>227</v>
      </c>
      <c r="M19" s="130">
        <v>45986.0</v>
      </c>
      <c r="N19" s="120" t="s">
        <v>4</v>
      </c>
      <c r="O19" s="123"/>
      <c r="P19" s="57"/>
      <c r="Q19" s="124"/>
      <c r="R19" s="10"/>
      <c r="S19" s="10"/>
      <c r="T19" s="10"/>
      <c r="U19" s="10"/>
      <c r="V19" s="10"/>
      <c r="W19" s="10"/>
      <c r="X19" s="10"/>
      <c r="Y19" s="10"/>
      <c r="Z19" s="10"/>
    </row>
    <row r="20" ht="12.75" customHeight="1" outlineLevel="1">
      <c r="A20" s="120" t="s">
        <v>1833</v>
      </c>
      <c r="B20" s="120" t="s">
        <v>1834</v>
      </c>
      <c r="C20" s="120" t="s">
        <v>1835</v>
      </c>
      <c r="D20" s="121" t="s">
        <v>1836</v>
      </c>
      <c r="E20" s="121" t="s">
        <v>685</v>
      </c>
      <c r="F20" s="120" t="s">
        <v>227</v>
      </c>
      <c r="G20" s="122">
        <v>45928.0</v>
      </c>
      <c r="H20" s="120" t="s">
        <v>259</v>
      </c>
      <c r="I20" s="120" t="s">
        <v>227</v>
      </c>
      <c r="J20" s="130">
        <v>45960.0</v>
      </c>
      <c r="K20" s="120" t="s">
        <v>4</v>
      </c>
      <c r="L20" s="120" t="s">
        <v>227</v>
      </c>
      <c r="M20" s="130">
        <v>45986.0</v>
      </c>
      <c r="N20" s="120" t="s">
        <v>4</v>
      </c>
      <c r="O20" s="123"/>
      <c r="P20" s="57"/>
      <c r="Q20" s="124"/>
      <c r="R20" s="10"/>
      <c r="S20" s="10"/>
      <c r="T20" s="10"/>
      <c r="U20" s="10"/>
      <c r="V20" s="10"/>
      <c r="W20" s="10"/>
      <c r="X20" s="10"/>
      <c r="Y20" s="10"/>
      <c r="Z20" s="10"/>
    </row>
    <row r="21" ht="12.75" customHeight="1" outlineLevel="1">
      <c r="A21" s="120" t="s">
        <v>1837</v>
      </c>
      <c r="B21" s="120" t="s">
        <v>1838</v>
      </c>
      <c r="C21" s="120" t="s">
        <v>1839</v>
      </c>
      <c r="D21" s="121" t="s">
        <v>1840</v>
      </c>
      <c r="E21" s="121" t="s">
        <v>1841</v>
      </c>
      <c r="F21" s="120" t="s">
        <v>227</v>
      </c>
      <c r="G21" s="122">
        <v>45928.0</v>
      </c>
      <c r="H21" s="120" t="s">
        <v>259</v>
      </c>
      <c r="I21" s="120" t="s">
        <v>227</v>
      </c>
      <c r="J21" s="130">
        <v>45960.0</v>
      </c>
      <c r="K21" s="120" t="s">
        <v>4</v>
      </c>
      <c r="L21" s="120" t="s">
        <v>227</v>
      </c>
      <c r="M21" s="130">
        <v>45986.0</v>
      </c>
      <c r="N21" s="120" t="s">
        <v>4</v>
      </c>
      <c r="O21" s="123"/>
      <c r="P21" s="57"/>
      <c r="Q21" s="124"/>
      <c r="R21" s="10"/>
      <c r="S21" s="10"/>
      <c r="T21" s="10"/>
      <c r="U21" s="10"/>
      <c r="V21" s="10"/>
      <c r="W21" s="10"/>
      <c r="X21" s="10"/>
      <c r="Y21" s="10"/>
      <c r="Z21" s="10"/>
    </row>
    <row r="22" ht="12.75" customHeight="1" outlineLevel="1">
      <c r="A22" s="120" t="s">
        <v>1842</v>
      </c>
      <c r="B22" s="120" t="s">
        <v>1843</v>
      </c>
      <c r="C22" s="120" t="s">
        <v>1844</v>
      </c>
      <c r="D22" s="121" t="s">
        <v>1845</v>
      </c>
      <c r="E22" s="121" t="s">
        <v>685</v>
      </c>
      <c r="F22" s="120" t="s">
        <v>227</v>
      </c>
      <c r="G22" s="122">
        <v>45928.0</v>
      </c>
      <c r="H22" s="120" t="s">
        <v>259</v>
      </c>
      <c r="I22" s="120" t="s">
        <v>227</v>
      </c>
      <c r="J22" s="130">
        <v>45960.0</v>
      </c>
      <c r="K22" s="120" t="s">
        <v>4</v>
      </c>
      <c r="L22" s="120" t="s">
        <v>227</v>
      </c>
      <c r="M22" s="130">
        <v>45986.0</v>
      </c>
      <c r="N22" s="120" t="s">
        <v>4</v>
      </c>
      <c r="O22" s="123"/>
      <c r="P22" s="57"/>
      <c r="Q22" s="124"/>
      <c r="R22" s="10"/>
      <c r="S22" s="10"/>
      <c r="T22" s="10"/>
      <c r="U22" s="10"/>
      <c r="V22" s="10"/>
      <c r="W22" s="10"/>
      <c r="X22" s="10"/>
      <c r="Y22" s="10"/>
      <c r="Z22" s="10"/>
    </row>
    <row r="23" ht="12.75" customHeight="1" outlineLevel="1">
      <c r="A23" s="120" t="s">
        <v>1846</v>
      </c>
      <c r="B23" s="120" t="s">
        <v>1847</v>
      </c>
      <c r="C23" s="120" t="s">
        <v>1848</v>
      </c>
      <c r="D23" s="121" t="s">
        <v>1849</v>
      </c>
      <c r="E23" s="121" t="s">
        <v>685</v>
      </c>
      <c r="F23" s="120" t="s">
        <v>228</v>
      </c>
      <c r="G23" s="122">
        <v>45928.0</v>
      </c>
      <c r="H23" s="120" t="s">
        <v>259</v>
      </c>
      <c r="I23" s="120" t="s">
        <v>227</v>
      </c>
      <c r="J23" s="130">
        <v>45960.0</v>
      </c>
      <c r="K23" s="120" t="s">
        <v>4</v>
      </c>
      <c r="L23" s="120" t="s">
        <v>227</v>
      </c>
      <c r="M23" s="130">
        <v>45986.0</v>
      </c>
      <c r="N23" s="120" t="s">
        <v>4</v>
      </c>
      <c r="O23" s="123"/>
      <c r="P23" s="57"/>
      <c r="Q23" s="124"/>
      <c r="R23" s="10"/>
      <c r="S23" s="10"/>
      <c r="T23" s="10"/>
      <c r="U23" s="10"/>
      <c r="V23" s="10"/>
      <c r="W23" s="10"/>
      <c r="X23" s="10"/>
      <c r="Y23" s="10"/>
      <c r="Z23" s="10"/>
    </row>
    <row r="24" ht="12.75" customHeight="1" outlineLevel="1">
      <c r="A24" s="120" t="s">
        <v>1850</v>
      </c>
      <c r="B24" s="120" t="s">
        <v>1851</v>
      </c>
      <c r="C24" s="120" t="s">
        <v>1852</v>
      </c>
      <c r="D24" s="121" t="s">
        <v>1853</v>
      </c>
      <c r="E24" s="121" t="s">
        <v>1854</v>
      </c>
      <c r="F24" s="120" t="s">
        <v>227</v>
      </c>
      <c r="G24" s="122">
        <v>45928.0</v>
      </c>
      <c r="H24" s="120" t="s">
        <v>259</v>
      </c>
      <c r="I24" s="120" t="s">
        <v>227</v>
      </c>
      <c r="J24" s="130">
        <v>45960.0</v>
      </c>
      <c r="K24" s="120" t="s">
        <v>4</v>
      </c>
      <c r="L24" s="120" t="s">
        <v>227</v>
      </c>
      <c r="M24" s="130">
        <v>45986.0</v>
      </c>
      <c r="N24" s="120" t="s">
        <v>4</v>
      </c>
      <c r="O24" s="123"/>
      <c r="P24" s="57"/>
      <c r="Q24" s="124"/>
      <c r="R24" s="10"/>
      <c r="S24" s="10"/>
      <c r="T24" s="10"/>
      <c r="U24" s="10"/>
      <c r="V24" s="10"/>
      <c r="W24" s="10"/>
      <c r="X24" s="10"/>
      <c r="Y24" s="10"/>
      <c r="Z24" s="10"/>
    </row>
    <row r="25" ht="12.75" customHeight="1" outlineLevel="1">
      <c r="A25" s="120" t="s">
        <v>1855</v>
      </c>
      <c r="B25" s="120" t="s">
        <v>1856</v>
      </c>
      <c r="C25" s="120" t="s">
        <v>1857</v>
      </c>
      <c r="D25" s="121" t="s">
        <v>1858</v>
      </c>
      <c r="E25" s="121" t="s">
        <v>685</v>
      </c>
      <c r="F25" s="120" t="s">
        <v>228</v>
      </c>
      <c r="G25" s="122">
        <v>45928.0</v>
      </c>
      <c r="H25" s="120" t="s">
        <v>259</v>
      </c>
      <c r="I25" s="120" t="s">
        <v>227</v>
      </c>
      <c r="J25" s="130">
        <v>45960.0</v>
      </c>
      <c r="K25" s="120" t="s">
        <v>4</v>
      </c>
      <c r="L25" s="120" t="s">
        <v>227</v>
      </c>
      <c r="M25" s="130">
        <v>45986.0</v>
      </c>
      <c r="N25" s="120" t="s">
        <v>4</v>
      </c>
      <c r="O25" s="123"/>
      <c r="P25" s="57"/>
      <c r="Q25" s="124"/>
      <c r="R25" s="10"/>
      <c r="S25" s="10"/>
      <c r="T25" s="10"/>
      <c r="U25" s="10"/>
      <c r="V25" s="10"/>
      <c r="W25" s="10"/>
      <c r="X25" s="10"/>
      <c r="Y25" s="10"/>
      <c r="Z25" s="10"/>
    </row>
    <row r="26" ht="12.75" customHeight="1" outlineLevel="1">
      <c r="A26" s="120" t="s">
        <v>1859</v>
      </c>
      <c r="B26" s="120" t="s">
        <v>1860</v>
      </c>
      <c r="C26" s="120" t="s">
        <v>1861</v>
      </c>
      <c r="D26" s="121" t="s">
        <v>1862</v>
      </c>
      <c r="E26" s="121" t="s">
        <v>685</v>
      </c>
      <c r="F26" s="120" t="s">
        <v>227</v>
      </c>
      <c r="G26" s="122">
        <v>45928.0</v>
      </c>
      <c r="H26" s="120" t="s">
        <v>259</v>
      </c>
      <c r="I26" s="120" t="s">
        <v>227</v>
      </c>
      <c r="J26" s="130">
        <v>45960.0</v>
      </c>
      <c r="K26" s="120" t="s">
        <v>4</v>
      </c>
      <c r="L26" s="120" t="s">
        <v>227</v>
      </c>
      <c r="M26" s="130">
        <v>45986.0</v>
      </c>
      <c r="N26" s="120" t="s">
        <v>4</v>
      </c>
      <c r="O26" s="123"/>
      <c r="P26" s="57"/>
      <c r="Q26" s="124"/>
      <c r="R26" s="10"/>
      <c r="S26" s="10"/>
      <c r="T26" s="10"/>
      <c r="U26" s="10"/>
      <c r="V26" s="10"/>
      <c r="W26" s="10"/>
      <c r="X26" s="10"/>
      <c r="Y26" s="10"/>
      <c r="Z26" s="10"/>
    </row>
    <row r="27" ht="12.75" customHeight="1" outlineLevel="1">
      <c r="A27" s="120" t="s">
        <v>1863</v>
      </c>
      <c r="B27" s="120" t="s">
        <v>1864</v>
      </c>
      <c r="C27" s="120" t="s">
        <v>1865</v>
      </c>
      <c r="D27" s="121" t="s">
        <v>1866</v>
      </c>
      <c r="E27" s="121" t="s">
        <v>685</v>
      </c>
      <c r="F27" s="120" t="s">
        <v>227</v>
      </c>
      <c r="G27" s="122">
        <v>45928.0</v>
      </c>
      <c r="H27" s="120" t="s">
        <v>259</v>
      </c>
      <c r="I27" s="120" t="s">
        <v>227</v>
      </c>
      <c r="J27" s="130">
        <v>45960.0</v>
      </c>
      <c r="K27" s="120" t="s">
        <v>4</v>
      </c>
      <c r="L27" s="120" t="s">
        <v>227</v>
      </c>
      <c r="M27" s="130">
        <v>45986.0</v>
      </c>
      <c r="N27" s="120" t="s">
        <v>4</v>
      </c>
      <c r="O27" s="123"/>
      <c r="P27" s="57"/>
      <c r="Q27" s="124"/>
      <c r="R27" s="10"/>
      <c r="S27" s="10"/>
      <c r="T27" s="10"/>
      <c r="U27" s="10"/>
      <c r="V27" s="10"/>
      <c r="W27" s="10"/>
      <c r="X27" s="10"/>
      <c r="Y27" s="10"/>
      <c r="Z27" s="10"/>
    </row>
    <row r="28" ht="12.75" customHeight="1" outlineLevel="1">
      <c r="A28" s="120" t="s">
        <v>1867</v>
      </c>
      <c r="B28" s="120" t="s">
        <v>1868</v>
      </c>
      <c r="C28" s="120" t="s">
        <v>1869</v>
      </c>
      <c r="D28" s="121" t="s">
        <v>1870</v>
      </c>
      <c r="E28" s="121" t="s">
        <v>685</v>
      </c>
      <c r="F28" s="120" t="s">
        <v>227</v>
      </c>
      <c r="G28" s="122">
        <v>45928.0</v>
      </c>
      <c r="H28" s="120" t="s">
        <v>259</v>
      </c>
      <c r="I28" s="120" t="s">
        <v>227</v>
      </c>
      <c r="J28" s="130">
        <v>45960.0</v>
      </c>
      <c r="K28" s="120" t="s">
        <v>4</v>
      </c>
      <c r="L28" s="120" t="s">
        <v>227</v>
      </c>
      <c r="M28" s="130">
        <v>45986.0</v>
      </c>
      <c r="N28" s="120" t="s">
        <v>4</v>
      </c>
      <c r="O28" s="123"/>
      <c r="P28" s="57"/>
      <c r="Q28" s="124"/>
      <c r="R28" s="10"/>
      <c r="S28" s="10"/>
      <c r="T28" s="10"/>
      <c r="U28" s="10"/>
      <c r="V28" s="10"/>
      <c r="W28" s="10"/>
      <c r="X28" s="10"/>
      <c r="Y28" s="10"/>
      <c r="Z28" s="10"/>
    </row>
    <row r="29" ht="12.75" customHeight="1" outlineLevel="1">
      <c r="A29" s="120" t="s">
        <v>1871</v>
      </c>
      <c r="B29" s="120" t="s">
        <v>1872</v>
      </c>
      <c r="C29" s="120" t="s">
        <v>1873</v>
      </c>
      <c r="D29" s="121" t="s">
        <v>1874</v>
      </c>
      <c r="E29" s="121" t="s">
        <v>1875</v>
      </c>
      <c r="F29" s="120" t="s">
        <v>227</v>
      </c>
      <c r="G29" s="122">
        <v>45928.0</v>
      </c>
      <c r="H29" s="120" t="s">
        <v>259</v>
      </c>
      <c r="I29" s="120" t="s">
        <v>227</v>
      </c>
      <c r="J29" s="130">
        <v>45960.0</v>
      </c>
      <c r="K29" s="120" t="s">
        <v>4</v>
      </c>
      <c r="L29" s="120" t="s">
        <v>227</v>
      </c>
      <c r="M29" s="130">
        <v>45986.0</v>
      </c>
      <c r="N29" s="120" t="s">
        <v>4</v>
      </c>
      <c r="O29" s="123"/>
      <c r="P29" s="57"/>
      <c r="Q29" s="124"/>
      <c r="R29" s="10"/>
      <c r="S29" s="10"/>
      <c r="T29" s="10"/>
      <c r="U29" s="10"/>
      <c r="V29" s="10"/>
      <c r="W29" s="10"/>
      <c r="X29" s="10"/>
      <c r="Y29" s="10"/>
      <c r="Z29" s="10"/>
    </row>
    <row r="30" ht="12.75" customHeight="1" outlineLevel="1">
      <c r="A30" s="120" t="s">
        <v>1876</v>
      </c>
      <c r="B30" s="120" t="s">
        <v>1877</v>
      </c>
      <c r="C30" s="120" t="s">
        <v>1878</v>
      </c>
      <c r="D30" s="121" t="s">
        <v>1879</v>
      </c>
      <c r="E30" s="121" t="s">
        <v>1880</v>
      </c>
      <c r="F30" s="120" t="s">
        <v>227</v>
      </c>
      <c r="G30" s="122">
        <v>45928.0</v>
      </c>
      <c r="H30" s="120" t="s">
        <v>259</v>
      </c>
      <c r="I30" s="120" t="s">
        <v>227</v>
      </c>
      <c r="J30" s="130">
        <v>45960.0</v>
      </c>
      <c r="K30" s="120" t="s">
        <v>4</v>
      </c>
      <c r="L30" s="120" t="s">
        <v>227</v>
      </c>
      <c r="M30" s="130">
        <v>45986.0</v>
      </c>
      <c r="N30" s="120" t="s">
        <v>4</v>
      </c>
      <c r="O30" s="123"/>
      <c r="P30" s="57"/>
      <c r="Q30" s="124"/>
      <c r="R30" s="10"/>
      <c r="S30" s="10"/>
      <c r="T30" s="10"/>
      <c r="U30" s="10"/>
      <c r="V30" s="10"/>
      <c r="W30" s="10"/>
      <c r="X30" s="10"/>
      <c r="Y30" s="10"/>
      <c r="Z30" s="10"/>
    </row>
    <row r="31" ht="15.75" customHeight="1">
      <c r="A31" s="116" t="s">
        <v>1881</v>
      </c>
      <c r="B31" s="117"/>
      <c r="C31" s="117"/>
      <c r="D31" s="117"/>
      <c r="E31" s="117"/>
      <c r="F31" s="117"/>
      <c r="G31" s="117"/>
      <c r="H31" s="117"/>
      <c r="I31" s="117"/>
      <c r="J31" s="117"/>
      <c r="K31" s="117"/>
      <c r="L31" s="117"/>
      <c r="M31" s="117"/>
      <c r="N31" s="117"/>
      <c r="O31" s="117"/>
      <c r="P31" s="118"/>
      <c r="Q31" s="119"/>
      <c r="R31" s="97"/>
      <c r="S31" s="97"/>
      <c r="T31" s="97"/>
      <c r="U31" s="97"/>
      <c r="V31" s="97"/>
      <c r="W31" s="97"/>
      <c r="X31" s="97"/>
      <c r="Y31" s="97"/>
      <c r="Z31" s="97"/>
    </row>
    <row r="32" ht="12.75" customHeight="1" outlineLevel="1">
      <c r="A32" s="120" t="s">
        <v>1882</v>
      </c>
      <c r="B32" s="120" t="s">
        <v>1883</v>
      </c>
      <c r="C32" s="120" t="s">
        <v>1884</v>
      </c>
      <c r="D32" s="120" t="s">
        <v>1885</v>
      </c>
      <c r="E32" s="120" t="s">
        <v>1886</v>
      </c>
      <c r="F32" s="120" t="s">
        <v>227</v>
      </c>
      <c r="G32" s="122">
        <v>45928.0</v>
      </c>
      <c r="H32" s="120" t="s">
        <v>259</v>
      </c>
      <c r="I32" s="120" t="s">
        <v>227</v>
      </c>
      <c r="J32" s="130">
        <v>45960.0</v>
      </c>
      <c r="K32" s="120" t="s">
        <v>4</v>
      </c>
      <c r="L32" s="120" t="s">
        <v>227</v>
      </c>
      <c r="M32" s="130">
        <v>45986.0</v>
      </c>
      <c r="N32" s="120" t="s">
        <v>4</v>
      </c>
      <c r="O32" s="123"/>
      <c r="P32" s="57"/>
      <c r="Q32" s="124"/>
      <c r="R32" s="10"/>
      <c r="S32" s="10"/>
      <c r="T32" s="10"/>
      <c r="U32" s="10"/>
      <c r="V32" s="10"/>
      <c r="W32" s="10"/>
      <c r="X32" s="10"/>
      <c r="Y32" s="10"/>
      <c r="Z32" s="10"/>
    </row>
    <row r="33" ht="12.75" customHeight="1" outlineLevel="1">
      <c r="A33" s="120" t="s">
        <v>1887</v>
      </c>
      <c r="B33" s="120" t="s">
        <v>1888</v>
      </c>
      <c r="C33" s="120" t="s">
        <v>1884</v>
      </c>
      <c r="D33" s="120" t="s">
        <v>1889</v>
      </c>
      <c r="E33" s="120" t="s">
        <v>1890</v>
      </c>
      <c r="F33" s="120" t="s">
        <v>227</v>
      </c>
      <c r="G33" s="122">
        <v>45928.0</v>
      </c>
      <c r="H33" s="120" t="s">
        <v>259</v>
      </c>
      <c r="I33" s="120" t="s">
        <v>227</v>
      </c>
      <c r="J33" s="130">
        <v>45960.0</v>
      </c>
      <c r="K33" s="120" t="s">
        <v>4</v>
      </c>
      <c r="L33" s="120" t="s">
        <v>227</v>
      </c>
      <c r="M33" s="130">
        <v>45986.0</v>
      </c>
      <c r="N33" s="120" t="s">
        <v>4</v>
      </c>
      <c r="O33" s="79"/>
      <c r="P33" s="57"/>
      <c r="Q33" s="89"/>
      <c r="R33" s="10"/>
      <c r="S33" s="10"/>
      <c r="T33" s="10"/>
      <c r="U33" s="10"/>
      <c r="V33" s="10"/>
      <c r="W33" s="10"/>
      <c r="X33" s="10"/>
      <c r="Y33" s="10"/>
      <c r="Z33" s="10"/>
    </row>
    <row r="34" ht="12.75" customHeight="1" outlineLevel="1">
      <c r="A34" s="120" t="s">
        <v>1891</v>
      </c>
      <c r="B34" s="120" t="s">
        <v>1712</v>
      </c>
      <c r="C34" s="120" t="s">
        <v>1713</v>
      </c>
      <c r="D34" s="120" t="s">
        <v>1714</v>
      </c>
      <c r="E34" s="120" t="s">
        <v>1715</v>
      </c>
      <c r="F34" s="120" t="s">
        <v>227</v>
      </c>
      <c r="G34" s="122">
        <v>45928.0</v>
      </c>
      <c r="H34" s="120" t="s">
        <v>259</v>
      </c>
      <c r="I34" s="120" t="s">
        <v>227</v>
      </c>
      <c r="J34" s="130">
        <v>45960.0</v>
      </c>
      <c r="K34" s="120" t="s">
        <v>4</v>
      </c>
      <c r="L34" s="120" t="s">
        <v>227</v>
      </c>
      <c r="M34" s="130">
        <v>45986.0</v>
      </c>
      <c r="N34" s="120" t="s">
        <v>4</v>
      </c>
      <c r="O34" s="79"/>
      <c r="P34" s="57"/>
      <c r="Q34" s="89"/>
      <c r="R34" s="10"/>
      <c r="S34" s="10"/>
      <c r="T34" s="10"/>
      <c r="U34" s="10"/>
      <c r="V34" s="10"/>
      <c r="W34" s="10"/>
      <c r="X34" s="10"/>
      <c r="Y34" s="10"/>
      <c r="Z34" s="10"/>
    </row>
    <row r="35" ht="12.75" customHeight="1" outlineLevel="1">
      <c r="A35" s="120" t="s">
        <v>1892</v>
      </c>
      <c r="B35" s="120" t="s">
        <v>1893</v>
      </c>
      <c r="C35" s="120" t="s">
        <v>1894</v>
      </c>
      <c r="D35" s="120" t="s">
        <v>1895</v>
      </c>
      <c r="E35" s="120" t="s">
        <v>1896</v>
      </c>
      <c r="F35" s="120" t="s">
        <v>227</v>
      </c>
      <c r="G35" s="122">
        <v>45928.0</v>
      </c>
      <c r="H35" s="120" t="s">
        <v>259</v>
      </c>
      <c r="I35" s="120" t="s">
        <v>227</v>
      </c>
      <c r="J35" s="130">
        <v>45960.0</v>
      </c>
      <c r="K35" s="120" t="s">
        <v>4</v>
      </c>
      <c r="L35" s="120" t="s">
        <v>227</v>
      </c>
      <c r="M35" s="130">
        <v>45986.0</v>
      </c>
      <c r="N35" s="120" t="s">
        <v>4</v>
      </c>
      <c r="O35" s="79"/>
      <c r="P35" s="57"/>
      <c r="Q35" s="89"/>
      <c r="R35" s="10"/>
      <c r="S35" s="10"/>
      <c r="T35" s="10"/>
      <c r="U35" s="10"/>
      <c r="V35" s="10"/>
      <c r="W35" s="10"/>
      <c r="X35" s="10"/>
      <c r="Y35" s="10"/>
      <c r="Z35" s="10"/>
    </row>
    <row r="36" ht="12.75" customHeight="1" outlineLevel="1">
      <c r="A36" s="120" t="s">
        <v>1897</v>
      </c>
      <c r="B36" s="120" t="s">
        <v>1898</v>
      </c>
      <c r="C36" s="120" t="s">
        <v>1899</v>
      </c>
      <c r="D36" s="120" t="s">
        <v>1900</v>
      </c>
      <c r="E36" s="120" t="s">
        <v>1901</v>
      </c>
      <c r="F36" s="120" t="s">
        <v>227</v>
      </c>
      <c r="G36" s="122">
        <v>45928.0</v>
      </c>
      <c r="H36" s="120" t="s">
        <v>259</v>
      </c>
      <c r="I36" s="120" t="s">
        <v>227</v>
      </c>
      <c r="J36" s="130">
        <v>45960.0</v>
      </c>
      <c r="K36" s="120" t="s">
        <v>4</v>
      </c>
      <c r="L36" s="120" t="s">
        <v>227</v>
      </c>
      <c r="M36" s="130">
        <v>45986.0</v>
      </c>
      <c r="N36" s="120" t="s">
        <v>4</v>
      </c>
      <c r="O36" s="79"/>
      <c r="P36" s="57"/>
      <c r="Q36" s="89"/>
      <c r="R36" s="10"/>
      <c r="S36" s="10"/>
      <c r="T36" s="10"/>
      <c r="U36" s="10"/>
      <c r="V36" s="10"/>
      <c r="W36" s="10"/>
      <c r="X36" s="10"/>
      <c r="Y36" s="10"/>
      <c r="Z36" s="10"/>
    </row>
    <row r="37" ht="12.75" customHeight="1" outlineLevel="1">
      <c r="A37" s="120" t="s">
        <v>1902</v>
      </c>
      <c r="B37" s="120" t="s">
        <v>1903</v>
      </c>
      <c r="C37" s="120" t="s">
        <v>1884</v>
      </c>
      <c r="D37" s="120" t="s">
        <v>1904</v>
      </c>
      <c r="E37" s="120" t="s">
        <v>1905</v>
      </c>
      <c r="F37" s="120" t="s">
        <v>227</v>
      </c>
      <c r="G37" s="122">
        <v>45928.0</v>
      </c>
      <c r="H37" s="120" t="s">
        <v>259</v>
      </c>
      <c r="I37" s="120" t="s">
        <v>227</v>
      </c>
      <c r="J37" s="130">
        <v>45960.0</v>
      </c>
      <c r="K37" s="120" t="s">
        <v>4</v>
      </c>
      <c r="L37" s="120" t="s">
        <v>227</v>
      </c>
      <c r="M37" s="130">
        <v>45986.0</v>
      </c>
      <c r="N37" s="120" t="s">
        <v>4</v>
      </c>
      <c r="O37" s="79"/>
      <c r="P37" s="57"/>
      <c r="Q37" s="89"/>
      <c r="R37" s="10"/>
      <c r="S37" s="10"/>
      <c r="T37" s="10"/>
      <c r="U37" s="10"/>
      <c r="V37" s="10"/>
      <c r="W37" s="10"/>
      <c r="X37" s="10"/>
      <c r="Y37" s="10"/>
      <c r="Z37" s="10"/>
    </row>
    <row r="38" ht="12.75" customHeight="1" outlineLevel="1">
      <c r="A38" s="120" t="s">
        <v>1906</v>
      </c>
      <c r="B38" s="120" t="s">
        <v>1907</v>
      </c>
      <c r="C38" s="120" t="s">
        <v>1908</v>
      </c>
      <c r="D38" s="120" t="s">
        <v>1909</v>
      </c>
      <c r="E38" s="120" t="s">
        <v>1910</v>
      </c>
      <c r="F38" s="120" t="s">
        <v>227</v>
      </c>
      <c r="G38" s="122">
        <v>45928.0</v>
      </c>
      <c r="H38" s="120" t="s">
        <v>259</v>
      </c>
      <c r="I38" s="120" t="s">
        <v>227</v>
      </c>
      <c r="J38" s="130">
        <v>45960.0</v>
      </c>
      <c r="K38" s="120" t="s">
        <v>4</v>
      </c>
      <c r="L38" s="120" t="s">
        <v>227</v>
      </c>
      <c r="M38" s="130">
        <v>45986.0</v>
      </c>
      <c r="N38" s="120" t="s">
        <v>4</v>
      </c>
      <c r="O38" s="79"/>
      <c r="P38" s="57"/>
      <c r="Q38" s="89"/>
      <c r="R38" s="10"/>
      <c r="S38" s="10"/>
      <c r="T38" s="10"/>
      <c r="U38" s="10"/>
      <c r="V38" s="10"/>
      <c r="W38" s="10"/>
      <c r="X38" s="10"/>
      <c r="Y38" s="10"/>
      <c r="Z38" s="10"/>
    </row>
    <row r="39" ht="12.75" customHeight="1">
      <c r="A39" s="116" t="s">
        <v>1911</v>
      </c>
      <c r="B39" s="117"/>
      <c r="C39" s="117"/>
      <c r="D39" s="117"/>
      <c r="E39" s="117"/>
      <c r="F39" s="117"/>
      <c r="G39" s="117"/>
      <c r="H39" s="117"/>
      <c r="I39" s="117"/>
      <c r="J39" s="117"/>
      <c r="K39" s="117"/>
      <c r="L39" s="117"/>
      <c r="M39" s="117"/>
      <c r="N39" s="117"/>
      <c r="O39" s="117"/>
      <c r="P39" s="57"/>
      <c r="Q39" s="89"/>
      <c r="R39" s="10"/>
      <c r="S39" s="10"/>
      <c r="T39" s="10"/>
      <c r="U39" s="10"/>
      <c r="V39" s="10"/>
      <c r="W39" s="10"/>
      <c r="X39" s="10"/>
      <c r="Y39" s="10"/>
      <c r="Z39" s="10"/>
    </row>
    <row r="40" ht="12.75" customHeight="1">
      <c r="A40" s="120" t="s">
        <v>1912</v>
      </c>
      <c r="B40" s="120" t="s">
        <v>1913</v>
      </c>
      <c r="C40" s="120" t="s">
        <v>1914</v>
      </c>
      <c r="D40" s="120" t="s">
        <v>1915</v>
      </c>
      <c r="E40" s="120" t="s">
        <v>1916</v>
      </c>
      <c r="F40" s="120" t="s">
        <v>227</v>
      </c>
      <c r="G40" s="122">
        <v>45928.0</v>
      </c>
      <c r="H40" s="120" t="s">
        <v>259</v>
      </c>
      <c r="I40" s="120" t="s">
        <v>227</v>
      </c>
      <c r="J40" s="130">
        <v>45960.0</v>
      </c>
      <c r="K40" s="120" t="s">
        <v>4</v>
      </c>
      <c r="L40" s="120" t="s">
        <v>227</v>
      </c>
      <c r="M40" s="130">
        <v>45986.0</v>
      </c>
      <c r="N40" s="120" t="s">
        <v>4</v>
      </c>
      <c r="O40" s="123"/>
      <c r="P40" s="57"/>
      <c r="Q40" s="89"/>
      <c r="R40" s="10"/>
      <c r="S40" s="10"/>
      <c r="T40" s="10"/>
      <c r="U40" s="10"/>
      <c r="V40" s="10"/>
      <c r="W40" s="10"/>
      <c r="X40" s="10"/>
      <c r="Y40" s="10"/>
      <c r="Z40" s="10"/>
    </row>
    <row r="41" ht="12.75" customHeight="1">
      <c r="A41" s="120" t="s">
        <v>1917</v>
      </c>
      <c r="B41" s="120" t="s">
        <v>1918</v>
      </c>
      <c r="C41" s="120" t="s">
        <v>1919</v>
      </c>
      <c r="D41" s="120" t="s">
        <v>1920</v>
      </c>
      <c r="E41" s="120" t="s">
        <v>685</v>
      </c>
      <c r="F41" s="120" t="s">
        <v>227</v>
      </c>
      <c r="G41" s="122">
        <v>45928.0</v>
      </c>
      <c r="H41" s="120" t="s">
        <v>259</v>
      </c>
      <c r="I41" s="120" t="s">
        <v>227</v>
      </c>
      <c r="J41" s="130">
        <v>45960.0</v>
      </c>
      <c r="K41" s="120" t="s">
        <v>4</v>
      </c>
      <c r="L41" s="120" t="s">
        <v>227</v>
      </c>
      <c r="M41" s="130">
        <v>45986.0</v>
      </c>
      <c r="N41" s="120" t="s">
        <v>4</v>
      </c>
      <c r="O41" s="79"/>
      <c r="P41" s="57"/>
      <c r="Q41" s="89"/>
      <c r="R41" s="10"/>
      <c r="S41" s="10"/>
      <c r="T41" s="10"/>
      <c r="U41" s="10"/>
      <c r="V41" s="10"/>
      <c r="W41" s="10"/>
      <c r="X41" s="10"/>
      <c r="Y41" s="10"/>
      <c r="Z41" s="10"/>
    </row>
    <row r="42" ht="12.75" customHeight="1">
      <c r="A42" s="120" t="s">
        <v>1921</v>
      </c>
      <c r="B42" s="120" t="s">
        <v>1922</v>
      </c>
      <c r="C42" s="120" t="s">
        <v>1923</v>
      </c>
      <c r="D42" s="120" t="s">
        <v>1924</v>
      </c>
      <c r="E42" s="120" t="s">
        <v>1925</v>
      </c>
      <c r="F42" s="120" t="s">
        <v>227</v>
      </c>
      <c r="G42" s="122">
        <v>45928.0</v>
      </c>
      <c r="H42" s="120" t="s">
        <v>259</v>
      </c>
      <c r="I42" s="120" t="s">
        <v>227</v>
      </c>
      <c r="J42" s="130">
        <v>45960.0</v>
      </c>
      <c r="K42" s="120" t="s">
        <v>4</v>
      </c>
      <c r="L42" s="120" t="s">
        <v>227</v>
      </c>
      <c r="M42" s="130">
        <v>45986.0</v>
      </c>
      <c r="N42" s="120" t="s">
        <v>4</v>
      </c>
      <c r="O42" s="79"/>
      <c r="P42" s="57"/>
      <c r="Q42" s="89"/>
      <c r="R42" s="10"/>
      <c r="S42" s="10"/>
      <c r="T42" s="10"/>
      <c r="U42" s="10"/>
      <c r="V42" s="10"/>
      <c r="W42" s="10"/>
      <c r="X42" s="10"/>
      <c r="Y42" s="10"/>
      <c r="Z42" s="10"/>
    </row>
    <row r="43" ht="12.75" customHeight="1">
      <c r="A43" s="120" t="s">
        <v>1926</v>
      </c>
      <c r="B43" s="120" t="s">
        <v>1927</v>
      </c>
      <c r="C43" s="120" t="s">
        <v>1928</v>
      </c>
      <c r="D43" s="120" t="s">
        <v>1929</v>
      </c>
      <c r="E43" s="120" t="s">
        <v>685</v>
      </c>
      <c r="F43" s="120" t="s">
        <v>227</v>
      </c>
      <c r="G43" s="122">
        <v>45928.0</v>
      </c>
      <c r="H43" s="120" t="s">
        <v>259</v>
      </c>
      <c r="I43" s="120" t="s">
        <v>227</v>
      </c>
      <c r="J43" s="130">
        <v>45960.0</v>
      </c>
      <c r="K43" s="120" t="s">
        <v>4</v>
      </c>
      <c r="L43" s="120" t="s">
        <v>227</v>
      </c>
      <c r="M43" s="130">
        <v>45986.0</v>
      </c>
      <c r="N43" s="120" t="s">
        <v>4</v>
      </c>
      <c r="O43" s="79"/>
      <c r="P43" s="57"/>
      <c r="Q43" s="89"/>
      <c r="R43" s="10"/>
      <c r="S43" s="10"/>
      <c r="T43" s="10"/>
      <c r="U43" s="10"/>
      <c r="V43" s="10"/>
      <c r="W43" s="10"/>
      <c r="X43" s="10"/>
      <c r="Y43" s="10"/>
      <c r="Z43" s="10"/>
    </row>
    <row r="44" ht="12.75" customHeight="1">
      <c r="A44" s="120" t="s">
        <v>1930</v>
      </c>
      <c r="B44" s="120" t="s">
        <v>1931</v>
      </c>
      <c r="C44" s="120" t="s">
        <v>1932</v>
      </c>
      <c r="D44" s="120" t="s">
        <v>1933</v>
      </c>
      <c r="E44" s="120" t="s">
        <v>1934</v>
      </c>
      <c r="F44" s="120" t="s">
        <v>227</v>
      </c>
      <c r="G44" s="122">
        <v>45928.0</v>
      </c>
      <c r="H44" s="120" t="s">
        <v>259</v>
      </c>
      <c r="I44" s="120" t="s">
        <v>227</v>
      </c>
      <c r="J44" s="130">
        <v>45960.0</v>
      </c>
      <c r="K44" s="120" t="s">
        <v>4</v>
      </c>
      <c r="L44" s="120" t="s">
        <v>227</v>
      </c>
      <c r="M44" s="130">
        <v>45986.0</v>
      </c>
      <c r="N44" s="120" t="s">
        <v>4</v>
      </c>
      <c r="O44" s="79"/>
      <c r="P44" s="57"/>
      <c r="Q44" s="89"/>
      <c r="R44" s="10"/>
      <c r="S44" s="10"/>
      <c r="T44" s="10"/>
      <c r="U44" s="10"/>
      <c r="V44" s="10"/>
      <c r="W44" s="10"/>
      <c r="X44" s="10"/>
      <c r="Y44" s="10"/>
      <c r="Z44" s="10"/>
    </row>
    <row r="45" ht="12.75" customHeight="1">
      <c r="A45" s="120" t="s">
        <v>1935</v>
      </c>
      <c r="B45" s="120" t="s">
        <v>1936</v>
      </c>
      <c r="C45" s="120" t="s">
        <v>1937</v>
      </c>
      <c r="D45" s="120" t="s">
        <v>1938</v>
      </c>
      <c r="E45" s="120" t="s">
        <v>1939</v>
      </c>
      <c r="F45" s="120" t="s">
        <v>227</v>
      </c>
      <c r="G45" s="122">
        <v>45928.0</v>
      </c>
      <c r="H45" s="120" t="s">
        <v>259</v>
      </c>
      <c r="I45" s="120" t="s">
        <v>227</v>
      </c>
      <c r="J45" s="130">
        <v>45960.0</v>
      </c>
      <c r="K45" s="120" t="s">
        <v>4</v>
      </c>
      <c r="L45" s="120" t="s">
        <v>227</v>
      </c>
      <c r="M45" s="130">
        <v>45986.0</v>
      </c>
      <c r="N45" s="120" t="s">
        <v>4</v>
      </c>
      <c r="O45" s="79"/>
      <c r="P45" s="57"/>
      <c r="Q45" s="89"/>
      <c r="R45" s="10"/>
      <c r="S45" s="10"/>
      <c r="T45" s="10"/>
      <c r="U45" s="10"/>
      <c r="V45" s="10"/>
      <c r="W45" s="10"/>
      <c r="X45" s="10"/>
      <c r="Y45" s="10"/>
      <c r="Z45" s="10"/>
    </row>
    <row r="46" ht="12.75" customHeight="1">
      <c r="A46" s="116" t="s">
        <v>1940</v>
      </c>
      <c r="B46" s="117"/>
      <c r="C46" s="117"/>
      <c r="D46" s="117"/>
      <c r="E46" s="117"/>
      <c r="F46" s="117"/>
      <c r="G46" s="117"/>
      <c r="H46" s="117"/>
      <c r="I46" s="117"/>
      <c r="J46" s="117"/>
      <c r="K46" s="117"/>
      <c r="L46" s="117"/>
      <c r="M46" s="117"/>
      <c r="N46" s="117"/>
      <c r="O46" s="117"/>
      <c r="P46" s="57"/>
      <c r="Q46" s="89"/>
      <c r="R46" s="10"/>
      <c r="S46" s="10"/>
      <c r="T46" s="10"/>
      <c r="U46" s="10"/>
      <c r="V46" s="10"/>
      <c r="W46" s="10"/>
      <c r="X46" s="10"/>
      <c r="Y46" s="10"/>
      <c r="Z46" s="10"/>
    </row>
    <row r="47" ht="12.75" customHeight="1">
      <c r="A47" s="120" t="s">
        <v>1941</v>
      </c>
      <c r="B47" s="120" t="s">
        <v>1942</v>
      </c>
      <c r="C47" s="120" t="s">
        <v>1943</v>
      </c>
      <c r="D47" s="120" t="s">
        <v>1944</v>
      </c>
      <c r="E47" s="120" t="s">
        <v>1945</v>
      </c>
      <c r="F47" s="120" t="s">
        <v>227</v>
      </c>
      <c r="G47" s="122">
        <v>45928.0</v>
      </c>
      <c r="H47" s="120" t="s">
        <v>259</v>
      </c>
      <c r="I47" s="120" t="s">
        <v>227</v>
      </c>
      <c r="J47" s="130">
        <v>45960.0</v>
      </c>
      <c r="K47" s="120" t="s">
        <v>4</v>
      </c>
      <c r="L47" s="120" t="s">
        <v>227</v>
      </c>
      <c r="M47" s="130">
        <v>45986.0</v>
      </c>
      <c r="N47" s="120" t="s">
        <v>4</v>
      </c>
      <c r="O47" s="123"/>
      <c r="P47" s="57"/>
      <c r="Q47" s="89"/>
      <c r="R47" s="10"/>
      <c r="S47" s="10"/>
      <c r="T47" s="10"/>
      <c r="U47" s="10"/>
      <c r="V47" s="10"/>
      <c r="W47" s="10"/>
      <c r="X47" s="10"/>
      <c r="Y47" s="10"/>
      <c r="Z47" s="10"/>
    </row>
    <row r="48" ht="12.75" customHeight="1">
      <c r="A48" s="120" t="s">
        <v>1946</v>
      </c>
      <c r="B48" s="120" t="s">
        <v>1947</v>
      </c>
      <c r="C48" s="120" t="s">
        <v>1948</v>
      </c>
      <c r="D48" s="120" t="s">
        <v>1949</v>
      </c>
      <c r="E48" s="120" t="s">
        <v>1950</v>
      </c>
      <c r="F48" s="120" t="s">
        <v>227</v>
      </c>
      <c r="G48" s="122">
        <v>45928.0</v>
      </c>
      <c r="H48" s="120" t="s">
        <v>259</v>
      </c>
      <c r="I48" s="120" t="s">
        <v>227</v>
      </c>
      <c r="J48" s="130">
        <v>45960.0</v>
      </c>
      <c r="K48" s="120" t="s">
        <v>4</v>
      </c>
      <c r="L48" s="120" t="s">
        <v>227</v>
      </c>
      <c r="M48" s="130">
        <v>45986.0</v>
      </c>
      <c r="N48" s="120" t="s">
        <v>4</v>
      </c>
      <c r="O48" s="79"/>
      <c r="P48" s="57"/>
      <c r="Q48" s="89"/>
      <c r="R48" s="10"/>
      <c r="S48" s="10"/>
      <c r="T48" s="10"/>
      <c r="U48" s="10"/>
      <c r="V48" s="10"/>
      <c r="W48" s="10"/>
      <c r="X48" s="10"/>
      <c r="Y48" s="10"/>
      <c r="Z48" s="10"/>
    </row>
    <row r="49" ht="12.75" customHeight="1">
      <c r="A49" s="120" t="s">
        <v>1951</v>
      </c>
      <c r="B49" s="120" t="s">
        <v>1952</v>
      </c>
      <c r="C49" s="120" t="s">
        <v>1953</v>
      </c>
      <c r="D49" s="120" t="s">
        <v>1954</v>
      </c>
      <c r="E49" s="120" t="s">
        <v>1955</v>
      </c>
      <c r="F49" s="120" t="s">
        <v>227</v>
      </c>
      <c r="G49" s="122">
        <v>45928.0</v>
      </c>
      <c r="H49" s="120" t="s">
        <v>259</v>
      </c>
      <c r="I49" s="120" t="s">
        <v>227</v>
      </c>
      <c r="J49" s="130">
        <v>45960.0</v>
      </c>
      <c r="K49" s="120" t="s">
        <v>4</v>
      </c>
      <c r="L49" s="120" t="s">
        <v>227</v>
      </c>
      <c r="M49" s="130">
        <v>45986.0</v>
      </c>
      <c r="N49" s="120" t="s">
        <v>4</v>
      </c>
      <c r="O49" s="79"/>
      <c r="P49" s="57"/>
      <c r="Q49" s="89"/>
      <c r="R49" s="10"/>
      <c r="S49" s="10"/>
      <c r="T49" s="10"/>
      <c r="U49" s="10"/>
      <c r="V49" s="10"/>
      <c r="W49" s="10"/>
      <c r="X49" s="10"/>
      <c r="Y49" s="10"/>
      <c r="Z49" s="10"/>
    </row>
    <row r="50" ht="12.75" customHeight="1">
      <c r="A50" s="120" t="s">
        <v>1956</v>
      </c>
      <c r="B50" s="120" t="s">
        <v>1957</v>
      </c>
      <c r="C50" s="120" t="s">
        <v>1958</v>
      </c>
      <c r="D50" s="120" t="s">
        <v>1959</v>
      </c>
      <c r="E50" s="120" t="s">
        <v>1960</v>
      </c>
      <c r="F50" s="120" t="s">
        <v>227</v>
      </c>
      <c r="G50" s="122">
        <v>45928.0</v>
      </c>
      <c r="H50" s="120" t="s">
        <v>259</v>
      </c>
      <c r="I50" s="120" t="s">
        <v>227</v>
      </c>
      <c r="J50" s="130">
        <v>45960.0</v>
      </c>
      <c r="K50" s="120" t="s">
        <v>4</v>
      </c>
      <c r="L50" s="120" t="s">
        <v>227</v>
      </c>
      <c r="M50" s="130">
        <v>45986.0</v>
      </c>
      <c r="N50" s="120" t="s">
        <v>4</v>
      </c>
      <c r="O50" s="79"/>
      <c r="P50" s="57"/>
      <c r="Q50" s="89"/>
      <c r="R50" s="10"/>
      <c r="S50" s="10"/>
      <c r="T50" s="10"/>
      <c r="U50" s="10"/>
      <c r="V50" s="10"/>
      <c r="W50" s="10"/>
      <c r="X50" s="10"/>
      <c r="Y50" s="10"/>
      <c r="Z50" s="10"/>
    </row>
    <row r="51" ht="12.75" customHeight="1">
      <c r="A51" s="120" t="s">
        <v>1961</v>
      </c>
      <c r="B51" s="120" t="s">
        <v>1962</v>
      </c>
      <c r="C51" s="120" t="s">
        <v>1963</v>
      </c>
      <c r="D51" s="120" t="s">
        <v>1964</v>
      </c>
      <c r="E51" s="120" t="s">
        <v>1965</v>
      </c>
      <c r="F51" s="120" t="s">
        <v>227</v>
      </c>
      <c r="G51" s="122">
        <v>45928.0</v>
      </c>
      <c r="H51" s="120" t="s">
        <v>259</v>
      </c>
      <c r="I51" s="120" t="s">
        <v>227</v>
      </c>
      <c r="J51" s="130">
        <v>45960.0</v>
      </c>
      <c r="K51" s="120" t="s">
        <v>4</v>
      </c>
      <c r="L51" s="120" t="s">
        <v>227</v>
      </c>
      <c r="M51" s="130">
        <v>45986.0</v>
      </c>
      <c r="N51" s="120" t="s">
        <v>4</v>
      </c>
      <c r="O51" s="79"/>
      <c r="P51" s="57"/>
      <c r="Q51" s="89"/>
      <c r="R51" s="10"/>
      <c r="S51" s="10"/>
      <c r="T51" s="10"/>
      <c r="U51" s="10"/>
      <c r="V51" s="10"/>
      <c r="W51" s="10"/>
      <c r="X51" s="10"/>
      <c r="Y51" s="10"/>
      <c r="Z51" s="10"/>
    </row>
    <row r="52" ht="12.75" customHeight="1">
      <c r="A52" s="120" t="s">
        <v>1966</v>
      </c>
      <c r="B52" s="120" t="s">
        <v>1967</v>
      </c>
      <c r="C52" s="120" t="s">
        <v>1968</v>
      </c>
      <c r="D52" s="120" t="s">
        <v>1969</v>
      </c>
      <c r="E52" s="120" t="s">
        <v>1970</v>
      </c>
      <c r="F52" s="120" t="s">
        <v>227</v>
      </c>
      <c r="G52" s="122">
        <v>45928.0</v>
      </c>
      <c r="H52" s="120" t="s">
        <v>259</v>
      </c>
      <c r="I52" s="120" t="s">
        <v>227</v>
      </c>
      <c r="J52" s="130">
        <v>45960.0</v>
      </c>
      <c r="K52" s="120" t="s">
        <v>4</v>
      </c>
      <c r="L52" s="120" t="s">
        <v>227</v>
      </c>
      <c r="M52" s="130">
        <v>45986.0</v>
      </c>
      <c r="N52" s="120" t="s">
        <v>4</v>
      </c>
      <c r="O52" s="79"/>
      <c r="P52" s="57"/>
      <c r="Q52" s="89"/>
      <c r="R52" s="10"/>
      <c r="S52" s="10"/>
      <c r="T52" s="10"/>
      <c r="U52" s="10"/>
      <c r="V52" s="10"/>
      <c r="W52" s="10"/>
      <c r="X52" s="10"/>
      <c r="Y52" s="10"/>
      <c r="Z52" s="10"/>
    </row>
    <row r="53" ht="12.75" customHeight="1">
      <c r="A53" s="120" t="s">
        <v>1971</v>
      </c>
      <c r="B53" s="120" t="s">
        <v>1972</v>
      </c>
      <c r="C53" s="120" t="s">
        <v>1973</v>
      </c>
      <c r="D53" s="120" t="s">
        <v>1929</v>
      </c>
      <c r="E53" s="120" t="s">
        <v>685</v>
      </c>
      <c r="F53" s="120" t="s">
        <v>227</v>
      </c>
      <c r="G53" s="122">
        <v>45928.0</v>
      </c>
      <c r="H53" s="120" t="s">
        <v>259</v>
      </c>
      <c r="I53" s="120" t="s">
        <v>227</v>
      </c>
      <c r="J53" s="130">
        <v>45960.0</v>
      </c>
      <c r="K53" s="120" t="s">
        <v>4</v>
      </c>
      <c r="L53" s="120" t="s">
        <v>227</v>
      </c>
      <c r="M53" s="130">
        <v>45986.0</v>
      </c>
      <c r="N53" s="120" t="s">
        <v>4</v>
      </c>
      <c r="O53" s="79"/>
      <c r="P53" s="57"/>
      <c r="Q53" s="89"/>
      <c r="R53" s="10"/>
      <c r="S53" s="10"/>
      <c r="T53" s="10"/>
      <c r="U53" s="10"/>
      <c r="V53" s="10"/>
      <c r="W53" s="10"/>
      <c r="X53" s="10"/>
      <c r="Y53" s="10"/>
      <c r="Z53" s="10"/>
    </row>
    <row r="54" ht="12.75" customHeight="1">
      <c r="A54" s="120" t="s">
        <v>1974</v>
      </c>
      <c r="B54" s="120" t="s">
        <v>1975</v>
      </c>
      <c r="C54" s="120" t="s">
        <v>1976</v>
      </c>
      <c r="D54" s="120" t="s">
        <v>1920</v>
      </c>
      <c r="E54" s="120" t="s">
        <v>685</v>
      </c>
      <c r="F54" s="120" t="s">
        <v>227</v>
      </c>
      <c r="G54" s="122">
        <v>45928.0</v>
      </c>
      <c r="H54" s="120" t="s">
        <v>259</v>
      </c>
      <c r="I54" s="120" t="s">
        <v>227</v>
      </c>
      <c r="J54" s="130">
        <v>45960.0</v>
      </c>
      <c r="K54" s="120" t="s">
        <v>4</v>
      </c>
      <c r="L54" s="120" t="s">
        <v>227</v>
      </c>
      <c r="M54" s="130">
        <v>45986.0</v>
      </c>
      <c r="N54" s="120" t="s">
        <v>4</v>
      </c>
      <c r="O54" s="79"/>
      <c r="P54" s="57"/>
      <c r="Q54" s="89"/>
      <c r="R54" s="10"/>
      <c r="S54" s="10"/>
      <c r="T54" s="10"/>
      <c r="U54" s="10"/>
      <c r="V54" s="10"/>
      <c r="W54" s="10"/>
      <c r="X54" s="10"/>
      <c r="Y54" s="10"/>
      <c r="Z54" s="10"/>
    </row>
    <row r="55" ht="12.75" customHeight="1">
      <c r="A55" s="120" t="s">
        <v>1977</v>
      </c>
      <c r="B55" s="120" t="s">
        <v>1978</v>
      </c>
      <c r="C55" s="120" t="s">
        <v>1979</v>
      </c>
      <c r="D55" s="120" t="s">
        <v>1980</v>
      </c>
      <c r="E55" s="120" t="s">
        <v>1981</v>
      </c>
      <c r="F55" s="120" t="s">
        <v>227</v>
      </c>
      <c r="G55" s="122">
        <v>45928.0</v>
      </c>
      <c r="H55" s="120" t="s">
        <v>259</v>
      </c>
      <c r="I55" s="120" t="s">
        <v>227</v>
      </c>
      <c r="J55" s="130">
        <v>45960.0</v>
      </c>
      <c r="K55" s="120" t="s">
        <v>4</v>
      </c>
      <c r="L55" s="120" t="s">
        <v>227</v>
      </c>
      <c r="M55" s="130">
        <v>45986.0</v>
      </c>
      <c r="N55" s="120" t="s">
        <v>4</v>
      </c>
      <c r="O55" s="79"/>
      <c r="P55" s="57"/>
      <c r="Q55" s="89"/>
      <c r="R55" s="10"/>
      <c r="S55" s="10"/>
      <c r="T55" s="10"/>
      <c r="U55" s="10"/>
      <c r="V55" s="10"/>
      <c r="W55" s="10"/>
      <c r="X55" s="10"/>
      <c r="Y55" s="10"/>
      <c r="Z55" s="10"/>
    </row>
    <row r="56" ht="12.75" customHeight="1">
      <c r="A56" s="116" t="s">
        <v>1982</v>
      </c>
      <c r="B56" s="117"/>
      <c r="C56" s="117"/>
      <c r="D56" s="117"/>
      <c r="E56" s="117"/>
      <c r="F56" s="117"/>
      <c r="G56" s="117"/>
      <c r="H56" s="117"/>
      <c r="I56" s="117"/>
      <c r="J56" s="117"/>
      <c r="K56" s="117"/>
      <c r="L56" s="117"/>
      <c r="M56" s="117"/>
      <c r="N56" s="117"/>
      <c r="O56" s="117"/>
      <c r="P56" s="57"/>
      <c r="Q56" s="89"/>
      <c r="R56" s="10"/>
      <c r="S56" s="10"/>
      <c r="T56" s="10"/>
      <c r="U56" s="10"/>
      <c r="V56" s="10"/>
      <c r="W56" s="10"/>
      <c r="X56" s="10"/>
      <c r="Y56" s="10"/>
      <c r="Z56" s="10"/>
    </row>
    <row r="57" ht="12.75" customHeight="1">
      <c r="A57" s="120" t="s">
        <v>1983</v>
      </c>
      <c r="B57" s="120" t="s">
        <v>1984</v>
      </c>
      <c r="C57" s="120" t="s">
        <v>1985</v>
      </c>
      <c r="D57" s="120" t="s">
        <v>1986</v>
      </c>
      <c r="E57" s="120" t="s">
        <v>1987</v>
      </c>
      <c r="F57" s="120" t="s">
        <v>227</v>
      </c>
      <c r="G57" s="122">
        <v>45928.0</v>
      </c>
      <c r="H57" s="120" t="s">
        <v>259</v>
      </c>
      <c r="I57" s="120" t="s">
        <v>227</v>
      </c>
      <c r="J57" s="130">
        <v>45960.0</v>
      </c>
      <c r="K57" s="120" t="s">
        <v>4</v>
      </c>
      <c r="L57" s="120" t="s">
        <v>227</v>
      </c>
      <c r="M57" s="130">
        <v>45986.0</v>
      </c>
      <c r="N57" s="120" t="s">
        <v>4</v>
      </c>
      <c r="O57" s="123"/>
      <c r="P57" s="57"/>
      <c r="Q57" s="89"/>
      <c r="R57" s="10"/>
      <c r="S57" s="10"/>
      <c r="T57" s="10"/>
      <c r="U57" s="10"/>
      <c r="V57" s="10"/>
      <c r="W57" s="10"/>
      <c r="X57" s="10"/>
      <c r="Y57" s="10"/>
      <c r="Z57" s="10"/>
    </row>
    <row r="58" ht="12.75" customHeight="1">
      <c r="A58" s="120" t="s">
        <v>1988</v>
      </c>
      <c r="B58" s="120" t="s">
        <v>1989</v>
      </c>
      <c r="C58" s="120" t="s">
        <v>1990</v>
      </c>
      <c r="D58" s="120" t="s">
        <v>1991</v>
      </c>
      <c r="E58" s="120" t="s">
        <v>1939</v>
      </c>
      <c r="F58" s="120" t="s">
        <v>227</v>
      </c>
      <c r="G58" s="122">
        <v>45928.0</v>
      </c>
      <c r="H58" s="120" t="s">
        <v>259</v>
      </c>
      <c r="I58" s="120" t="s">
        <v>227</v>
      </c>
      <c r="J58" s="130">
        <v>45960.0</v>
      </c>
      <c r="K58" s="120" t="s">
        <v>4</v>
      </c>
      <c r="L58" s="120" t="s">
        <v>227</v>
      </c>
      <c r="M58" s="130">
        <v>45986.0</v>
      </c>
      <c r="N58" s="120" t="s">
        <v>4</v>
      </c>
      <c r="O58" s="79"/>
      <c r="P58" s="57"/>
      <c r="Q58" s="89"/>
      <c r="R58" s="10"/>
      <c r="S58" s="10"/>
      <c r="T58" s="10"/>
      <c r="U58" s="10"/>
      <c r="V58" s="10"/>
      <c r="W58" s="10"/>
      <c r="X58" s="10"/>
      <c r="Y58" s="10"/>
      <c r="Z58" s="10"/>
    </row>
    <row r="59" ht="12.75" customHeight="1">
      <c r="A59" s="120" t="s">
        <v>1992</v>
      </c>
      <c r="B59" s="120" t="s">
        <v>1993</v>
      </c>
      <c r="C59" s="120" t="s">
        <v>1994</v>
      </c>
      <c r="D59" s="120" t="s">
        <v>1995</v>
      </c>
      <c r="E59" s="120" t="s">
        <v>1996</v>
      </c>
      <c r="F59" s="120" t="s">
        <v>227</v>
      </c>
      <c r="G59" s="122">
        <v>45928.0</v>
      </c>
      <c r="H59" s="120" t="s">
        <v>259</v>
      </c>
      <c r="I59" s="120" t="s">
        <v>227</v>
      </c>
      <c r="J59" s="130">
        <v>45960.0</v>
      </c>
      <c r="K59" s="120" t="s">
        <v>4</v>
      </c>
      <c r="L59" s="120" t="s">
        <v>227</v>
      </c>
      <c r="M59" s="130">
        <v>45986.0</v>
      </c>
      <c r="N59" s="120" t="s">
        <v>4</v>
      </c>
      <c r="O59" s="79"/>
      <c r="P59" s="57"/>
      <c r="Q59" s="89"/>
      <c r="R59" s="10"/>
      <c r="S59" s="10"/>
      <c r="T59" s="10"/>
      <c r="U59" s="10"/>
      <c r="V59" s="10"/>
      <c r="W59" s="10"/>
      <c r="X59" s="10"/>
      <c r="Y59" s="10"/>
      <c r="Z59" s="10"/>
    </row>
    <row r="60" ht="12.75" customHeight="1">
      <c r="A60" s="120" t="s">
        <v>1997</v>
      </c>
      <c r="B60" s="120" t="s">
        <v>1998</v>
      </c>
      <c r="C60" s="120" t="s">
        <v>1999</v>
      </c>
      <c r="D60" s="120" t="s">
        <v>2000</v>
      </c>
      <c r="E60" s="120" t="s">
        <v>2001</v>
      </c>
      <c r="F60" s="120" t="s">
        <v>227</v>
      </c>
      <c r="G60" s="122">
        <v>45928.0</v>
      </c>
      <c r="H60" s="120" t="s">
        <v>259</v>
      </c>
      <c r="I60" s="120" t="s">
        <v>227</v>
      </c>
      <c r="J60" s="130">
        <v>45960.0</v>
      </c>
      <c r="K60" s="120" t="s">
        <v>4</v>
      </c>
      <c r="L60" s="120" t="s">
        <v>227</v>
      </c>
      <c r="M60" s="130">
        <v>45986.0</v>
      </c>
      <c r="N60" s="120" t="s">
        <v>4</v>
      </c>
      <c r="O60" s="79"/>
      <c r="P60" s="57"/>
      <c r="Q60" s="89"/>
      <c r="R60" s="10"/>
      <c r="S60" s="10"/>
      <c r="T60" s="10"/>
      <c r="U60" s="10"/>
      <c r="V60" s="10"/>
      <c r="W60" s="10"/>
      <c r="X60" s="10"/>
      <c r="Y60" s="10"/>
      <c r="Z60" s="10"/>
    </row>
    <row r="61" ht="12.75" customHeight="1">
      <c r="A61" s="120" t="s">
        <v>2002</v>
      </c>
      <c r="B61" s="120" t="s">
        <v>2003</v>
      </c>
      <c r="C61" s="120" t="s">
        <v>2004</v>
      </c>
      <c r="D61" s="120" t="s">
        <v>1920</v>
      </c>
      <c r="E61" s="120" t="s">
        <v>685</v>
      </c>
      <c r="F61" s="120" t="s">
        <v>227</v>
      </c>
      <c r="G61" s="122">
        <v>45928.0</v>
      </c>
      <c r="H61" s="120" t="s">
        <v>259</v>
      </c>
      <c r="I61" s="120" t="s">
        <v>227</v>
      </c>
      <c r="J61" s="130">
        <v>45960.0</v>
      </c>
      <c r="K61" s="120" t="s">
        <v>4</v>
      </c>
      <c r="L61" s="120" t="s">
        <v>227</v>
      </c>
      <c r="M61" s="130">
        <v>45986.0</v>
      </c>
      <c r="N61" s="120" t="s">
        <v>4</v>
      </c>
      <c r="O61" s="79"/>
      <c r="P61" s="57"/>
      <c r="Q61" s="89"/>
      <c r="R61" s="10"/>
      <c r="S61" s="10"/>
      <c r="T61" s="10"/>
      <c r="U61" s="10"/>
      <c r="V61" s="10"/>
      <c r="W61" s="10"/>
      <c r="X61" s="10"/>
      <c r="Y61" s="10"/>
      <c r="Z61" s="10"/>
    </row>
    <row r="62" ht="12.75" customHeight="1">
      <c r="A62" s="116" t="s">
        <v>2005</v>
      </c>
      <c r="B62" s="117"/>
      <c r="C62" s="117"/>
      <c r="D62" s="117"/>
      <c r="E62" s="117"/>
      <c r="F62" s="117"/>
      <c r="G62" s="117"/>
      <c r="H62" s="117"/>
      <c r="I62" s="117"/>
      <c r="J62" s="117"/>
      <c r="K62" s="117"/>
      <c r="L62" s="117"/>
      <c r="M62" s="117"/>
      <c r="N62" s="117"/>
      <c r="O62" s="117"/>
      <c r="P62" s="57"/>
      <c r="Q62" s="89"/>
      <c r="R62" s="10"/>
      <c r="S62" s="10"/>
      <c r="T62" s="10"/>
      <c r="U62" s="10"/>
      <c r="V62" s="10"/>
      <c r="W62" s="10"/>
      <c r="X62" s="10"/>
      <c r="Y62" s="10"/>
      <c r="Z62" s="10"/>
    </row>
    <row r="63" ht="12.75" customHeight="1">
      <c r="A63" s="120" t="s">
        <v>2006</v>
      </c>
      <c r="B63" s="120" t="s">
        <v>2007</v>
      </c>
      <c r="C63" s="120" t="s">
        <v>2008</v>
      </c>
      <c r="D63" s="120" t="s">
        <v>2009</v>
      </c>
      <c r="E63" s="120" t="s">
        <v>2010</v>
      </c>
      <c r="F63" s="120" t="s">
        <v>227</v>
      </c>
      <c r="G63" s="122">
        <v>45928.0</v>
      </c>
      <c r="H63" s="120" t="s">
        <v>259</v>
      </c>
      <c r="I63" s="120" t="s">
        <v>227</v>
      </c>
      <c r="J63" s="130">
        <v>45960.0</v>
      </c>
      <c r="K63" s="120" t="s">
        <v>4</v>
      </c>
      <c r="L63" s="120" t="s">
        <v>227</v>
      </c>
      <c r="M63" s="130">
        <v>45986.0</v>
      </c>
      <c r="N63" s="120" t="s">
        <v>4</v>
      </c>
      <c r="O63" s="123"/>
      <c r="P63" s="57"/>
      <c r="Q63" s="89"/>
      <c r="R63" s="10"/>
      <c r="S63" s="10"/>
      <c r="T63" s="10"/>
      <c r="U63" s="10"/>
      <c r="V63" s="10"/>
      <c r="W63" s="10"/>
      <c r="X63" s="10"/>
      <c r="Y63" s="10"/>
      <c r="Z63" s="10"/>
    </row>
    <row r="64" ht="12.75" customHeight="1">
      <c r="A64" s="120" t="s">
        <v>2011</v>
      </c>
      <c r="B64" s="120" t="s">
        <v>2012</v>
      </c>
      <c r="C64" s="120" t="s">
        <v>2013</v>
      </c>
      <c r="D64" s="120" t="s">
        <v>2014</v>
      </c>
      <c r="E64" s="120" t="s">
        <v>2015</v>
      </c>
      <c r="F64" s="120" t="s">
        <v>227</v>
      </c>
      <c r="G64" s="122">
        <v>45928.0</v>
      </c>
      <c r="H64" s="120" t="s">
        <v>259</v>
      </c>
      <c r="I64" s="120" t="s">
        <v>227</v>
      </c>
      <c r="J64" s="130">
        <v>45960.0</v>
      </c>
      <c r="K64" s="120" t="s">
        <v>4</v>
      </c>
      <c r="L64" s="120" t="s">
        <v>227</v>
      </c>
      <c r="M64" s="130">
        <v>45986.0</v>
      </c>
      <c r="N64" s="120" t="s">
        <v>4</v>
      </c>
      <c r="O64" s="79"/>
      <c r="P64" s="57"/>
      <c r="Q64" s="89"/>
      <c r="R64" s="10"/>
      <c r="S64" s="10"/>
      <c r="T64" s="10"/>
      <c r="U64" s="10"/>
      <c r="V64" s="10"/>
      <c r="W64" s="10"/>
      <c r="X64" s="10"/>
      <c r="Y64" s="10"/>
      <c r="Z64" s="10"/>
    </row>
    <row r="65" ht="12.75" customHeight="1">
      <c r="A65" s="120" t="s">
        <v>2016</v>
      </c>
      <c r="B65" s="120" t="s">
        <v>2017</v>
      </c>
      <c r="C65" s="120" t="s">
        <v>2018</v>
      </c>
      <c r="D65" s="120" t="s">
        <v>1920</v>
      </c>
      <c r="E65" s="120" t="s">
        <v>1981</v>
      </c>
      <c r="F65" s="120" t="s">
        <v>227</v>
      </c>
      <c r="G65" s="122">
        <v>45928.0</v>
      </c>
      <c r="H65" s="120" t="s">
        <v>259</v>
      </c>
      <c r="I65" s="120" t="s">
        <v>227</v>
      </c>
      <c r="J65" s="130">
        <v>45960.0</v>
      </c>
      <c r="K65" s="120" t="s">
        <v>4</v>
      </c>
      <c r="L65" s="120" t="s">
        <v>227</v>
      </c>
      <c r="M65" s="130">
        <v>45986.0</v>
      </c>
      <c r="N65" s="120" t="s">
        <v>4</v>
      </c>
      <c r="O65" s="79"/>
      <c r="P65" s="57"/>
      <c r="Q65" s="89"/>
      <c r="R65" s="10"/>
      <c r="S65" s="10"/>
      <c r="T65" s="10"/>
      <c r="U65" s="10"/>
      <c r="V65" s="10"/>
      <c r="W65" s="10"/>
      <c r="X65" s="10"/>
      <c r="Y65" s="10"/>
      <c r="Z65" s="10"/>
    </row>
    <row r="66" ht="12.75" customHeight="1">
      <c r="A66" s="116" t="s">
        <v>2019</v>
      </c>
      <c r="B66" s="117"/>
      <c r="C66" s="117"/>
      <c r="D66" s="117"/>
      <c r="E66" s="117"/>
      <c r="F66" s="117"/>
      <c r="G66" s="117"/>
      <c r="H66" s="117"/>
      <c r="I66" s="117"/>
      <c r="J66" s="117"/>
      <c r="K66" s="117"/>
      <c r="L66" s="117"/>
      <c r="M66" s="117"/>
      <c r="N66" s="117"/>
      <c r="O66" s="117"/>
      <c r="P66" s="57"/>
      <c r="Q66" s="89"/>
      <c r="R66" s="10"/>
      <c r="S66" s="10"/>
      <c r="T66" s="10"/>
      <c r="U66" s="10"/>
      <c r="V66" s="10"/>
      <c r="W66" s="10"/>
      <c r="X66" s="10"/>
      <c r="Y66" s="10"/>
      <c r="Z66" s="10"/>
    </row>
    <row r="67" ht="12.75" customHeight="1">
      <c r="A67" s="120" t="s">
        <v>2020</v>
      </c>
      <c r="B67" s="120" t="s">
        <v>2021</v>
      </c>
      <c r="C67" s="120" t="s">
        <v>2022</v>
      </c>
      <c r="D67" s="120" t="s">
        <v>2023</v>
      </c>
      <c r="E67" s="120" t="s">
        <v>2024</v>
      </c>
      <c r="F67" s="120" t="s">
        <v>227</v>
      </c>
      <c r="G67" s="122">
        <v>45928.0</v>
      </c>
      <c r="H67" s="120" t="s">
        <v>259</v>
      </c>
      <c r="I67" s="120" t="s">
        <v>227</v>
      </c>
      <c r="J67" s="130">
        <v>45960.0</v>
      </c>
      <c r="K67" s="120" t="s">
        <v>4</v>
      </c>
      <c r="L67" s="120" t="s">
        <v>227</v>
      </c>
      <c r="M67" s="130">
        <v>45986.0</v>
      </c>
      <c r="N67" s="120" t="s">
        <v>4</v>
      </c>
      <c r="O67" s="123"/>
      <c r="P67" s="57"/>
      <c r="Q67" s="89"/>
      <c r="R67" s="10"/>
      <c r="S67" s="10"/>
      <c r="T67" s="10"/>
      <c r="U67" s="10"/>
      <c r="V67" s="10"/>
      <c r="W67" s="10"/>
      <c r="X67" s="10"/>
      <c r="Y67" s="10"/>
      <c r="Z67" s="10"/>
    </row>
    <row r="68" ht="12.75" customHeight="1">
      <c r="A68" s="120" t="s">
        <v>2025</v>
      </c>
      <c r="B68" s="120" t="s">
        <v>2026</v>
      </c>
      <c r="C68" s="120" t="s">
        <v>2027</v>
      </c>
      <c r="D68" s="120" t="s">
        <v>2028</v>
      </c>
      <c r="E68" s="120" t="s">
        <v>1880</v>
      </c>
      <c r="F68" s="120" t="s">
        <v>227</v>
      </c>
      <c r="G68" s="122">
        <v>45928.0</v>
      </c>
      <c r="H68" s="120" t="s">
        <v>259</v>
      </c>
      <c r="I68" s="120" t="s">
        <v>227</v>
      </c>
      <c r="J68" s="130">
        <v>45960.0</v>
      </c>
      <c r="K68" s="120" t="s">
        <v>4</v>
      </c>
      <c r="L68" s="120" t="s">
        <v>227</v>
      </c>
      <c r="M68" s="130">
        <v>45986.0</v>
      </c>
      <c r="N68" s="120" t="s">
        <v>4</v>
      </c>
      <c r="O68" s="79"/>
      <c r="P68" s="57"/>
      <c r="Q68" s="89"/>
      <c r="R68" s="10"/>
      <c r="S68" s="10"/>
      <c r="T68" s="10"/>
      <c r="U68" s="10"/>
      <c r="V68" s="10"/>
      <c r="W68" s="10"/>
      <c r="X68" s="10"/>
      <c r="Y68" s="10"/>
      <c r="Z68" s="10"/>
    </row>
    <row r="69" ht="12.75" customHeight="1">
      <c r="A69" s="120" t="s">
        <v>2029</v>
      </c>
      <c r="B69" s="120" t="s">
        <v>2030</v>
      </c>
      <c r="C69" s="120" t="s">
        <v>2031</v>
      </c>
      <c r="D69" s="120" t="s">
        <v>2032</v>
      </c>
      <c r="E69" s="120" t="s">
        <v>2033</v>
      </c>
      <c r="F69" s="120" t="s">
        <v>227</v>
      </c>
      <c r="G69" s="122">
        <v>45928.0</v>
      </c>
      <c r="H69" s="120" t="s">
        <v>259</v>
      </c>
      <c r="I69" s="120" t="s">
        <v>227</v>
      </c>
      <c r="J69" s="130">
        <v>45960.0</v>
      </c>
      <c r="K69" s="120" t="s">
        <v>4</v>
      </c>
      <c r="L69" s="120" t="s">
        <v>227</v>
      </c>
      <c r="M69" s="130">
        <v>45986.0</v>
      </c>
      <c r="N69" s="120" t="s">
        <v>4</v>
      </c>
      <c r="O69" s="79"/>
      <c r="P69" s="57"/>
      <c r="Q69" s="89"/>
      <c r="R69" s="10"/>
      <c r="S69" s="10"/>
      <c r="T69" s="10"/>
      <c r="U69" s="10"/>
      <c r="V69" s="10"/>
      <c r="W69" s="10"/>
      <c r="X69" s="10"/>
      <c r="Y69" s="10"/>
      <c r="Z69" s="10"/>
    </row>
    <row r="70" ht="12.75" customHeight="1">
      <c r="A70" s="120" t="s">
        <v>2034</v>
      </c>
      <c r="B70" s="120" t="s">
        <v>2035</v>
      </c>
      <c r="C70" s="120" t="s">
        <v>2036</v>
      </c>
      <c r="D70" s="120" t="s">
        <v>2037</v>
      </c>
      <c r="E70" s="120" t="s">
        <v>685</v>
      </c>
      <c r="F70" s="120" t="s">
        <v>227</v>
      </c>
      <c r="G70" s="122">
        <v>45928.0</v>
      </c>
      <c r="H70" s="120" t="s">
        <v>259</v>
      </c>
      <c r="I70" s="120" t="s">
        <v>227</v>
      </c>
      <c r="J70" s="130">
        <v>45960.0</v>
      </c>
      <c r="K70" s="120" t="s">
        <v>4</v>
      </c>
      <c r="L70" s="120" t="s">
        <v>227</v>
      </c>
      <c r="M70" s="130">
        <v>45986.0</v>
      </c>
      <c r="N70" s="120" t="s">
        <v>4</v>
      </c>
      <c r="O70" s="79"/>
      <c r="P70" s="57"/>
      <c r="Q70" s="89"/>
      <c r="R70" s="10"/>
      <c r="S70" s="10"/>
      <c r="T70" s="10"/>
      <c r="U70" s="10"/>
      <c r="V70" s="10"/>
      <c r="W70" s="10"/>
      <c r="X70" s="10"/>
      <c r="Y70" s="10"/>
      <c r="Z70" s="10"/>
    </row>
    <row r="71" ht="12.75" customHeight="1">
      <c r="A71" s="120" t="s">
        <v>2038</v>
      </c>
      <c r="B71" s="120" t="s">
        <v>2039</v>
      </c>
      <c r="C71" s="120" t="s">
        <v>2040</v>
      </c>
      <c r="D71" s="120" t="s">
        <v>2041</v>
      </c>
      <c r="E71" s="120" t="s">
        <v>2042</v>
      </c>
      <c r="F71" s="120" t="s">
        <v>227</v>
      </c>
      <c r="G71" s="122">
        <v>45928.0</v>
      </c>
      <c r="H71" s="120" t="s">
        <v>259</v>
      </c>
      <c r="I71" s="120" t="s">
        <v>227</v>
      </c>
      <c r="J71" s="130">
        <v>45960.0</v>
      </c>
      <c r="K71" s="120" t="s">
        <v>4</v>
      </c>
      <c r="L71" s="120" t="s">
        <v>227</v>
      </c>
      <c r="M71" s="130">
        <v>45986.0</v>
      </c>
      <c r="N71" s="120" t="s">
        <v>4</v>
      </c>
      <c r="O71" s="79"/>
      <c r="P71" s="57"/>
      <c r="Q71" s="89"/>
      <c r="R71" s="10"/>
      <c r="S71" s="10"/>
      <c r="T71" s="10"/>
      <c r="U71" s="10"/>
      <c r="V71" s="10"/>
      <c r="W71" s="10"/>
      <c r="X71" s="10"/>
      <c r="Y71" s="10"/>
      <c r="Z71" s="10"/>
    </row>
    <row r="72" ht="12.75" customHeight="1">
      <c r="A72" s="84"/>
      <c r="B72" s="84"/>
      <c r="C72" s="84"/>
      <c r="D72" s="84"/>
      <c r="E72" s="84"/>
      <c r="F72" s="84"/>
      <c r="G72" s="84"/>
      <c r="H72" s="84"/>
      <c r="I72" s="84"/>
      <c r="J72" s="84"/>
      <c r="K72" s="84"/>
      <c r="L72" s="84"/>
      <c r="M72" s="84"/>
      <c r="N72" s="84"/>
      <c r="O72" s="84"/>
      <c r="P72" s="10"/>
      <c r="Q72" s="8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8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8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8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8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8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8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8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8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8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8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8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8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8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8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8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8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8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8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8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8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8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8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8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8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8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8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8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8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8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8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8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8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8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8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8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8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8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8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8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8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8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8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8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8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8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8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8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8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8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8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8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8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8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8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8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8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8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8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8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8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8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8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8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8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8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8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8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8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8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8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8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8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8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8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8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8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8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8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8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8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8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8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8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8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8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8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8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8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8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8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8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8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8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8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8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8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8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8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8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8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8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8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8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8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8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8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8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8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8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8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8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8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8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8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8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8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8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8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8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8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8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8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8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8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8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8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8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8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8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8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8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8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8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8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8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8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8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8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8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8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8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8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8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8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8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8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8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8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8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8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8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8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8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8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8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8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8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8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8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8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8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8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8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8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8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8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8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8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8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8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8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8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8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8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8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8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8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8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8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8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8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8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8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8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8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8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8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8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8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8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8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8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8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8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8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8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8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8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8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8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8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8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8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8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8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8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8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8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8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8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8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8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8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8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8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8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8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8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8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8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8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8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8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8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8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8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8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8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8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8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8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8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8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8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8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8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8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8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8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8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8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8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8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8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8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8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8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8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8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8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8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8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8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8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8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8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8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8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8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8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8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8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8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8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8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8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8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8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8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8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8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8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8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8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8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8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8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8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8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8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8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8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8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8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8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8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8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8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8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8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8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8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8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8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8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8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8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8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8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8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8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8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8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8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8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8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8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8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8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8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8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8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8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8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8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8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8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8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8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8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8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8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8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8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8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8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8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8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8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8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8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8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8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8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8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8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8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8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8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8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8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8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8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8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8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8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8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8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8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8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8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8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8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8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8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8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8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8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8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8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8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8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8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8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8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8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8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8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8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8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8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8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8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8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8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8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8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8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8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8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8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8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8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8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8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8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8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8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8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8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8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8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8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8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8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8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8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8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8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8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8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8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8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8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8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8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8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8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8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8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8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8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8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8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8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8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8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8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8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8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8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8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8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8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8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8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8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8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8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8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8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8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8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8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8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8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8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8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8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8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8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8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8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8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8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8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8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8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8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8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8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8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8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8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8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8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8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8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8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8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8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8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8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8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8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8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8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8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8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8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8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8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8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8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8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8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8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8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8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8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8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8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8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8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8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8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8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8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8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8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8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8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8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8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8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8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8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8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8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8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8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8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8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8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8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8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8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8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8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8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8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8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8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8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8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8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8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8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8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8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8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8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8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8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8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8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8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8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8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8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8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8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8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8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8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8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8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8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8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8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8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8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8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8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8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8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8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8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8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8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8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8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8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8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8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8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8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8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8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8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8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8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8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8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8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8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8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8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8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8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8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8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8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8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8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8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8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8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8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8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8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8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8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8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8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8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8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8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8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8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8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8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8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8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8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8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8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8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8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8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8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8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8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8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8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8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8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8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8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8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8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8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8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8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8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8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8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8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8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8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8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8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8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8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8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8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8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8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8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8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8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8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8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8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8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8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8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8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8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8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8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8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8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8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8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8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8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8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8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8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8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8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8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8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8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8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8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8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8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8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8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8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8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8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8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8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8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8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8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8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8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8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8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8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8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8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8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8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8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8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8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8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8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8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8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8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8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8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8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8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8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8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8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8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8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8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8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8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8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8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8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8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8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8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8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8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8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8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8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8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8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8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8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8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8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8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8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8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8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8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8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8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8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8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8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8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8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8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8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8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8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8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8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8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8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8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8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8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8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8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8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8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8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8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8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8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8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8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8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8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8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8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8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8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8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8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8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8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8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8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8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8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8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8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8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8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8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8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8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8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8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8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8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8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8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8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8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8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8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8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8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8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8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8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8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8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8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8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8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8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8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8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8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8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8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8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8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8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8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8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8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8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8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8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8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8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8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8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8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8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8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8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8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8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8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8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8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8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8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8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8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8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8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8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8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8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8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8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8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8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8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8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8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8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8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8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8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8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89"/>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89"/>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89"/>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89"/>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89"/>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89"/>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89"/>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89"/>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89"/>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89"/>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89"/>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89"/>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89"/>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89"/>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89"/>
      <c r="R925" s="10"/>
      <c r="S925" s="10"/>
      <c r="T925" s="10"/>
      <c r="U925" s="10"/>
      <c r="V925" s="10"/>
      <c r="W925" s="10"/>
      <c r="X925" s="10"/>
      <c r="Y925" s="10"/>
      <c r="Z925" s="10"/>
    </row>
  </sheetData>
  <mergeCells count="3">
    <mergeCell ref="B2:E2"/>
    <mergeCell ref="B3:E3"/>
    <mergeCell ref="B4:E4"/>
  </mergeCells>
  <dataValidations>
    <dataValidation type="list" allowBlank="1" showErrorMessage="1" sqref="G2:G3 J2:J3 M2:M3 G9 J9 M9 F12:F71 I12:I71 L12:L71">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9.13" outlineLevel="1"/>
    <col customWidth="1" min="9" max="9" width="9.38"/>
    <col customWidth="1" min="10" max="10" width="10.63" outlineLevel="1"/>
    <col customWidth="1" min="11" max="11" width="9.0" outlineLevel="1"/>
    <col customWidth="1" min="12" max="12" width="9.38"/>
    <col customWidth="1" min="13" max="13" width="10.63" outlineLevel="1"/>
    <col customWidth="1" min="14" max="14" width="12.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89"/>
      <c r="R1" s="10"/>
      <c r="S1" s="10"/>
      <c r="T1" s="10"/>
      <c r="U1" s="10"/>
      <c r="V1" s="10"/>
      <c r="W1" s="10"/>
      <c r="X1" s="10"/>
      <c r="Y1" s="10"/>
      <c r="Z1" s="10"/>
    </row>
    <row r="2" ht="15.0" customHeight="1">
      <c r="A2" s="90" t="s">
        <v>236</v>
      </c>
      <c r="B2" s="91" t="s">
        <v>152</v>
      </c>
      <c r="C2" s="92"/>
      <c r="D2" s="92"/>
      <c r="E2" s="93"/>
      <c r="F2" s="94"/>
      <c r="G2" s="95"/>
      <c r="H2" s="40"/>
      <c r="I2" s="94"/>
      <c r="J2" s="95"/>
      <c r="K2" s="40"/>
      <c r="L2" s="94"/>
      <c r="M2" s="95"/>
      <c r="N2" s="40"/>
      <c r="O2" s="40"/>
      <c r="P2" s="40"/>
      <c r="Q2" s="96"/>
      <c r="R2" s="97" t="s">
        <v>227</v>
      </c>
      <c r="S2" s="97"/>
      <c r="T2" s="97"/>
      <c r="U2" s="97"/>
      <c r="V2" s="97"/>
      <c r="W2" s="97"/>
      <c r="X2" s="97"/>
      <c r="Y2" s="97"/>
      <c r="Z2" s="97"/>
    </row>
    <row r="3" ht="12.75" customHeight="1">
      <c r="A3" s="98" t="s">
        <v>237</v>
      </c>
      <c r="B3" s="99" t="s">
        <v>2043</v>
      </c>
      <c r="C3" s="5"/>
      <c r="D3" s="5"/>
      <c r="E3" s="100"/>
      <c r="F3" s="94"/>
      <c r="G3" s="95"/>
      <c r="H3" s="40"/>
      <c r="I3" s="94"/>
      <c r="J3" s="95"/>
      <c r="K3" s="40"/>
      <c r="L3" s="94"/>
      <c r="M3" s="95"/>
      <c r="N3" s="40"/>
      <c r="O3" s="40"/>
      <c r="P3" s="40"/>
      <c r="Q3" s="96"/>
      <c r="R3" s="97" t="s">
        <v>228</v>
      </c>
      <c r="S3" s="97"/>
      <c r="T3" s="97"/>
      <c r="U3" s="97"/>
      <c r="V3" s="97"/>
      <c r="W3" s="97"/>
      <c r="X3" s="97"/>
      <c r="Y3" s="97"/>
      <c r="Z3" s="97"/>
    </row>
    <row r="4" ht="18.0" customHeight="1">
      <c r="A4" s="98" t="s">
        <v>239</v>
      </c>
      <c r="B4" s="127">
        <f>COUNTA(A12:A880)-10</f>
        <v>52</v>
      </c>
      <c r="C4" s="5"/>
      <c r="D4" s="5"/>
      <c r="E4" s="100"/>
      <c r="F4" s="94"/>
      <c r="G4" s="95"/>
      <c r="H4" s="40"/>
      <c r="I4" s="94"/>
      <c r="J4" s="95"/>
      <c r="K4" s="40"/>
      <c r="L4" s="94"/>
      <c r="M4" s="95"/>
      <c r="N4" s="40"/>
      <c r="O4" s="40"/>
      <c r="P4" s="40"/>
      <c r="Q4" s="96"/>
      <c r="R4" s="97" t="s">
        <v>229</v>
      </c>
      <c r="S4" s="97"/>
      <c r="T4" s="97"/>
      <c r="U4" s="97"/>
      <c r="V4" s="97"/>
      <c r="W4" s="97"/>
      <c r="X4" s="97"/>
      <c r="Y4" s="97"/>
      <c r="Z4" s="97"/>
    </row>
    <row r="5" ht="19.5" customHeight="1">
      <c r="A5" s="101" t="s">
        <v>240</v>
      </c>
      <c r="B5" s="102" t="s">
        <v>227</v>
      </c>
      <c r="C5" s="102" t="s">
        <v>228</v>
      </c>
      <c r="D5" s="102" t="s">
        <v>229</v>
      </c>
      <c r="E5" s="103" t="s">
        <v>230</v>
      </c>
      <c r="F5" s="104"/>
      <c r="G5" s="104"/>
      <c r="H5" s="105"/>
      <c r="I5" s="104"/>
      <c r="J5" s="104"/>
      <c r="K5" s="105"/>
      <c r="L5" s="104"/>
      <c r="M5" s="104"/>
      <c r="N5" s="105"/>
      <c r="O5" s="105"/>
      <c r="P5" s="105"/>
      <c r="Q5" s="106"/>
      <c r="R5" s="97" t="s">
        <v>230</v>
      </c>
      <c r="S5" s="97"/>
      <c r="T5" s="97"/>
      <c r="U5" s="97"/>
      <c r="V5" s="97"/>
      <c r="W5" s="97"/>
      <c r="X5" s="97"/>
      <c r="Y5" s="97"/>
      <c r="Z5" s="97"/>
    </row>
    <row r="6" ht="15.0" customHeight="1">
      <c r="A6" s="101" t="s">
        <v>241</v>
      </c>
      <c r="B6" s="107">
        <f t="shared" ref="B6:E6" si="1">COUNTIF($F10:$F878,B5)</f>
        <v>49</v>
      </c>
      <c r="C6" s="107">
        <f t="shared" si="1"/>
        <v>3</v>
      </c>
      <c r="D6" s="107">
        <f t="shared" si="1"/>
        <v>0</v>
      </c>
      <c r="E6" s="108">
        <f t="shared" si="1"/>
        <v>0</v>
      </c>
      <c r="F6" s="109"/>
      <c r="G6" s="109"/>
      <c r="H6" s="105"/>
      <c r="I6" s="109"/>
      <c r="J6" s="109"/>
      <c r="K6" s="105"/>
      <c r="L6" s="109"/>
      <c r="M6" s="109"/>
      <c r="N6" s="105"/>
      <c r="O6" s="105"/>
      <c r="P6" s="105"/>
      <c r="Q6" s="106"/>
      <c r="R6" s="97"/>
      <c r="S6" s="97"/>
      <c r="T6" s="97"/>
      <c r="U6" s="97"/>
      <c r="V6" s="97"/>
      <c r="W6" s="97"/>
      <c r="X6" s="97"/>
      <c r="Y6" s="97"/>
      <c r="Z6" s="97"/>
    </row>
    <row r="7" ht="15.0" customHeight="1">
      <c r="A7" s="101" t="s">
        <v>242</v>
      </c>
      <c r="B7" s="107">
        <f>COUNTIF($I10:$I895,B5)</f>
        <v>50</v>
      </c>
      <c r="C7" s="107">
        <f>COUNTIF($I10:$FI895,C5)</f>
        <v>2</v>
      </c>
      <c r="D7" s="107">
        <f t="shared" ref="D7:E7" si="2">COUNTIF($F10:$F878,D5)</f>
        <v>0</v>
      </c>
      <c r="E7" s="108">
        <f t="shared" si="2"/>
        <v>0</v>
      </c>
      <c r="F7" s="109"/>
      <c r="G7" s="109"/>
      <c r="H7" s="105"/>
      <c r="I7" s="109"/>
      <c r="J7" s="109"/>
      <c r="K7" s="105"/>
      <c r="L7" s="109"/>
      <c r="M7" s="109"/>
      <c r="N7" s="105"/>
      <c r="O7" s="105"/>
      <c r="P7" s="105"/>
      <c r="Q7" s="106"/>
      <c r="R7" s="97"/>
      <c r="S7" s="97"/>
      <c r="T7" s="97"/>
      <c r="U7" s="97"/>
      <c r="V7" s="97"/>
      <c r="W7" s="97"/>
      <c r="X7" s="97"/>
      <c r="Y7" s="97"/>
      <c r="Z7" s="97"/>
    </row>
    <row r="8" ht="15.0" customHeight="1">
      <c r="A8" s="110" t="s">
        <v>243</v>
      </c>
      <c r="B8" s="111">
        <f t="shared" ref="B8:C8" si="3">COUNTIF($L10:$L895,B5)</f>
        <v>52</v>
      </c>
      <c r="C8" s="111">
        <f t="shared" si="3"/>
        <v>0</v>
      </c>
      <c r="D8" s="111">
        <f t="shared" ref="D8:E8" si="4">COUNTIF($F10:$F878,D5)</f>
        <v>0</v>
      </c>
      <c r="E8" s="112">
        <f t="shared" si="4"/>
        <v>0</v>
      </c>
      <c r="F8" s="109"/>
      <c r="G8" s="109"/>
      <c r="H8" s="105"/>
      <c r="I8" s="109"/>
      <c r="J8" s="109"/>
      <c r="K8" s="105"/>
      <c r="L8" s="109"/>
      <c r="M8" s="109"/>
      <c r="N8" s="105"/>
      <c r="O8" s="105"/>
      <c r="P8" s="105"/>
      <c r="Q8" s="106"/>
      <c r="R8" s="97"/>
      <c r="S8" s="97"/>
      <c r="T8" s="97"/>
      <c r="U8" s="97"/>
      <c r="V8" s="97"/>
      <c r="W8" s="97"/>
      <c r="X8" s="97"/>
      <c r="Y8" s="97"/>
      <c r="Z8" s="97"/>
    </row>
    <row r="9" ht="15.0" customHeight="1">
      <c r="A9" s="105"/>
      <c r="B9" s="105"/>
      <c r="C9" s="105"/>
      <c r="D9" s="105"/>
      <c r="E9" s="105"/>
      <c r="F9" s="88"/>
      <c r="G9" s="105"/>
      <c r="H9" s="105"/>
      <c r="I9" s="88"/>
      <c r="J9" s="105"/>
      <c r="K9" s="105"/>
      <c r="L9" s="88"/>
      <c r="M9" s="105"/>
      <c r="N9" s="105"/>
      <c r="O9" s="105"/>
      <c r="P9" s="105"/>
      <c r="Q9" s="106"/>
      <c r="R9" s="97"/>
      <c r="S9" s="97"/>
      <c r="T9" s="97"/>
      <c r="U9" s="97"/>
      <c r="V9" s="97"/>
      <c r="W9" s="97"/>
      <c r="X9" s="97"/>
      <c r="Y9" s="97"/>
      <c r="Z9" s="97"/>
    </row>
    <row r="10" ht="25.5" customHeight="1">
      <c r="A10" s="114" t="s">
        <v>244</v>
      </c>
      <c r="B10" s="114" t="s">
        <v>245</v>
      </c>
      <c r="C10" s="114" t="s">
        <v>246</v>
      </c>
      <c r="D10" s="114" t="s">
        <v>247</v>
      </c>
      <c r="E10" s="114" t="s">
        <v>248</v>
      </c>
      <c r="F10" s="114" t="s">
        <v>241</v>
      </c>
      <c r="G10" s="114" t="s">
        <v>249</v>
      </c>
      <c r="H10" s="114" t="s">
        <v>250</v>
      </c>
      <c r="I10" s="114" t="s">
        <v>242</v>
      </c>
      <c r="J10" s="114" t="s">
        <v>249</v>
      </c>
      <c r="K10" s="114" t="s">
        <v>250</v>
      </c>
      <c r="L10" s="114" t="s">
        <v>243</v>
      </c>
      <c r="M10" s="114" t="s">
        <v>249</v>
      </c>
      <c r="N10" s="114" t="s">
        <v>250</v>
      </c>
      <c r="O10" s="114" t="s">
        <v>251</v>
      </c>
      <c r="P10" s="97"/>
      <c r="Q10" s="115"/>
      <c r="R10" s="97"/>
      <c r="S10" s="97"/>
      <c r="T10" s="97"/>
      <c r="U10" s="97"/>
      <c r="V10" s="97"/>
      <c r="W10" s="97"/>
      <c r="X10" s="97"/>
      <c r="Y10" s="97"/>
      <c r="Z10" s="97"/>
    </row>
    <row r="11" ht="15.75" customHeight="1">
      <c r="A11" s="116" t="s">
        <v>2044</v>
      </c>
      <c r="B11" s="117"/>
      <c r="C11" s="117"/>
      <c r="D11" s="117"/>
      <c r="E11" s="117"/>
      <c r="F11" s="117"/>
      <c r="G11" s="117"/>
      <c r="H11" s="117"/>
      <c r="I11" s="117"/>
      <c r="J11" s="117"/>
      <c r="K11" s="117"/>
      <c r="L11" s="117"/>
      <c r="M11" s="117"/>
      <c r="N11" s="117"/>
      <c r="O11" s="117"/>
      <c r="P11" s="118"/>
      <c r="Q11" s="119"/>
      <c r="R11" s="97"/>
      <c r="S11" s="97"/>
      <c r="T11" s="97"/>
      <c r="U11" s="97"/>
      <c r="V11" s="97"/>
      <c r="W11" s="97"/>
      <c r="X11" s="97"/>
      <c r="Y11" s="97"/>
      <c r="Z11" s="97"/>
    </row>
    <row r="12" ht="120.75" customHeight="1" outlineLevel="1">
      <c r="A12" s="120" t="s">
        <v>2045</v>
      </c>
      <c r="B12" s="128" t="s">
        <v>2046</v>
      </c>
      <c r="C12" s="129" t="s">
        <v>2047</v>
      </c>
      <c r="D12" s="129" t="s">
        <v>2048</v>
      </c>
      <c r="E12" s="129" t="s">
        <v>2049</v>
      </c>
      <c r="F12" s="120" t="s">
        <v>227</v>
      </c>
      <c r="G12" s="122">
        <v>45935.0</v>
      </c>
      <c r="H12" s="120" t="s">
        <v>258</v>
      </c>
      <c r="I12" s="120" t="s">
        <v>227</v>
      </c>
      <c r="J12" s="130">
        <v>45971.0</v>
      </c>
      <c r="K12" s="120" t="s">
        <v>749</v>
      </c>
      <c r="L12" s="120" t="s">
        <v>227</v>
      </c>
      <c r="M12" s="130">
        <v>46004.0</v>
      </c>
      <c r="N12" s="120" t="s">
        <v>782</v>
      </c>
      <c r="O12" s="123"/>
      <c r="P12" s="131"/>
      <c r="Q12" s="124"/>
      <c r="R12" s="132"/>
      <c r="S12" s="132"/>
      <c r="T12" s="132"/>
      <c r="U12" s="132"/>
      <c r="V12" s="132"/>
      <c r="W12" s="132"/>
      <c r="X12" s="132"/>
      <c r="Y12" s="132"/>
      <c r="Z12" s="132"/>
    </row>
    <row r="13" ht="12.75" customHeight="1" outlineLevel="1">
      <c r="A13" s="120" t="s">
        <v>2050</v>
      </c>
      <c r="B13" s="120" t="s">
        <v>2051</v>
      </c>
      <c r="C13" s="120" t="s">
        <v>2052</v>
      </c>
      <c r="D13" s="121" t="s">
        <v>2053</v>
      </c>
      <c r="E13" s="121" t="s">
        <v>1679</v>
      </c>
      <c r="F13" s="120" t="s">
        <v>227</v>
      </c>
      <c r="G13" s="122">
        <v>45935.0</v>
      </c>
      <c r="H13" s="120" t="s">
        <v>258</v>
      </c>
      <c r="I13" s="120" t="s">
        <v>227</v>
      </c>
      <c r="J13" s="130">
        <v>45971.0</v>
      </c>
      <c r="K13" s="120" t="s">
        <v>749</v>
      </c>
      <c r="L13" s="120" t="s">
        <v>227</v>
      </c>
      <c r="M13" s="130">
        <v>46004.0</v>
      </c>
      <c r="N13" s="120" t="s">
        <v>782</v>
      </c>
      <c r="O13" s="123"/>
      <c r="P13" s="57"/>
      <c r="Q13" s="124"/>
      <c r="R13" s="10"/>
      <c r="S13" s="10"/>
      <c r="T13" s="10"/>
      <c r="U13" s="10"/>
      <c r="V13" s="10"/>
      <c r="W13" s="10"/>
      <c r="X13" s="10"/>
      <c r="Y13" s="10"/>
      <c r="Z13" s="10"/>
    </row>
    <row r="14" ht="12.75" customHeight="1" outlineLevel="1">
      <c r="A14" s="120" t="s">
        <v>2054</v>
      </c>
      <c r="B14" s="120" t="s">
        <v>2055</v>
      </c>
      <c r="C14" s="120" t="s">
        <v>2056</v>
      </c>
      <c r="D14" s="121" t="s">
        <v>2057</v>
      </c>
      <c r="E14" s="121" t="s">
        <v>1679</v>
      </c>
      <c r="F14" s="120" t="s">
        <v>227</v>
      </c>
      <c r="G14" s="122">
        <v>45935.0</v>
      </c>
      <c r="H14" s="120" t="s">
        <v>258</v>
      </c>
      <c r="I14" s="120" t="s">
        <v>227</v>
      </c>
      <c r="J14" s="130">
        <v>45971.0</v>
      </c>
      <c r="K14" s="120" t="s">
        <v>749</v>
      </c>
      <c r="L14" s="120" t="s">
        <v>227</v>
      </c>
      <c r="M14" s="130">
        <v>46004.0</v>
      </c>
      <c r="N14" s="120" t="s">
        <v>782</v>
      </c>
      <c r="O14" s="123"/>
      <c r="P14" s="57"/>
      <c r="Q14" s="124"/>
      <c r="R14" s="10"/>
      <c r="S14" s="10"/>
      <c r="T14" s="10"/>
      <c r="U14" s="10"/>
      <c r="V14" s="10"/>
      <c r="W14" s="10"/>
      <c r="X14" s="10"/>
      <c r="Y14" s="10"/>
      <c r="Z14" s="10"/>
    </row>
    <row r="15" ht="12.75" customHeight="1" outlineLevel="1">
      <c r="A15" s="120" t="s">
        <v>2058</v>
      </c>
      <c r="B15" s="120" t="s">
        <v>2059</v>
      </c>
      <c r="C15" s="120" t="s">
        <v>2060</v>
      </c>
      <c r="D15" s="121" t="s">
        <v>2061</v>
      </c>
      <c r="E15" s="121" t="s">
        <v>2062</v>
      </c>
      <c r="F15" s="120" t="s">
        <v>227</v>
      </c>
      <c r="G15" s="122">
        <v>45935.0</v>
      </c>
      <c r="H15" s="120" t="s">
        <v>258</v>
      </c>
      <c r="I15" s="120" t="s">
        <v>227</v>
      </c>
      <c r="J15" s="130">
        <v>45971.0</v>
      </c>
      <c r="K15" s="120" t="s">
        <v>749</v>
      </c>
      <c r="L15" s="120" t="s">
        <v>227</v>
      </c>
      <c r="M15" s="130">
        <v>46004.0</v>
      </c>
      <c r="N15" s="120" t="s">
        <v>782</v>
      </c>
      <c r="O15" s="123"/>
      <c r="P15" s="57"/>
      <c r="Q15" s="124"/>
      <c r="R15" s="10"/>
      <c r="S15" s="10"/>
      <c r="T15" s="10"/>
      <c r="U15" s="10"/>
      <c r="V15" s="10"/>
      <c r="W15" s="10"/>
      <c r="X15" s="10"/>
      <c r="Y15" s="10"/>
      <c r="Z15" s="10"/>
    </row>
    <row r="16" ht="12.75" customHeight="1" outlineLevel="1">
      <c r="A16" s="120" t="s">
        <v>2063</v>
      </c>
      <c r="B16" s="120" t="s">
        <v>2064</v>
      </c>
      <c r="C16" s="120" t="s">
        <v>2065</v>
      </c>
      <c r="D16" s="121" t="s">
        <v>2066</v>
      </c>
      <c r="E16" s="121" t="s">
        <v>1679</v>
      </c>
      <c r="F16" s="120" t="s">
        <v>227</v>
      </c>
      <c r="G16" s="122">
        <v>45935.0</v>
      </c>
      <c r="H16" s="120" t="s">
        <v>258</v>
      </c>
      <c r="I16" s="120" t="s">
        <v>227</v>
      </c>
      <c r="J16" s="130">
        <v>45971.0</v>
      </c>
      <c r="K16" s="120" t="s">
        <v>749</v>
      </c>
      <c r="L16" s="120" t="s">
        <v>227</v>
      </c>
      <c r="M16" s="130">
        <v>46004.0</v>
      </c>
      <c r="N16" s="120" t="s">
        <v>782</v>
      </c>
      <c r="O16" s="123"/>
      <c r="P16" s="57"/>
      <c r="Q16" s="124"/>
      <c r="R16" s="10"/>
      <c r="S16" s="10"/>
      <c r="T16" s="10"/>
      <c r="U16" s="10"/>
      <c r="V16" s="10"/>
      <c r="W16" s="10"/>
      <c r="X16" s="10"/>
      <c r="Y16" s="10"/>
      <c r="Z16" s="10"/>
    </row>
    <row r="17" ht="15.75" customHeight="1">
      <c r="A17" s="116" t="s">
        <v>2067</v>
      </c>
      <c r="B17" s="117"/>
      <c r="C17" s="117"/>
      <c r="D17" s="117"/>
      <c r="E17" s="117"/>
      <c r="F17" s="117"/>
      <c r="G17" s="117"/>
      <c r="H17" s="117"/>
      <c r="I17" s="117"/>
      <c r="J17" s="117"/>
      <c r="K17" s="117"/>
      <c r="L17" s="117"/>
      <c r="M17" s="117"/>
      <c r="N17" s="117"/>
      <c r="O17" s="117"/>
      <c r="P17" s="118"/>
      <c r="Q17" s="119"/>
      <c r="R17" s="97"/>
      <c r="S17" s="97"/>
      <c r="T17" s="97"/>
      <c r="U17" s="97"/>
      <c r="V17" s="97"/>
      <c r="W17" s="97"/>
      <c r="X17" s="97"/>
      <c r="Y17" s="97"/>
      <c r="Z17" s="97"/>
    </row>
    <row r="18" ht="12.75" customHeight="1" outlineLevel="1">
      <c r="A18" s="120" t="s">
        <v>2068</v>
      </c>
      <c r="B18" s="120" t="s">
        <v>2069</v>
      </c>
      <c r="C18" s="120" t="s">
        <v>2070</v>
      </c>
      <c r="D18" s="120" t="s">
        <v>2071</v>
      </c>
      <c r="E18" s="120" t="s">
        <v>2072</v>
      </c>
      <c r="F18" s="120" t="s">
        <v>227</v>
      </c>
      <c r="G18" s="122">
        <v>45935.0</v>
      </c>
      <c r="H18" s="120" t="s">
        <v>258</v>
      </c>
      <c r="I18" s="120" t="s">
        <v>227</v>
      </c>
      <c r="J18" s="130">
        <v>45971.0</v>
      </c>
      <c r="K18" s="120" t="s">
        <v>749</v>
      </c>
      <c r="L18" s="120" t="s">
        <v>227</v>
      </c>
      <c r="M18" s="130">
        <v>46004.0</v>
      </c>
      <c r="N18" s="120" t="s">
        <v>782</v>
      </c>
      <c r="O18" s="123"/>
      <c r="P18" s="57"/>
      <c r="Q18" s="124"/>
      <c r="R18" s="10"/>
      <c r="S18" s="10"/>
      <c r="T18" s="10"/>
      <c r="U18" s="10"/>
      <c r="V18" s="10"/>
      <c r="W18" s="10"/>
      <c r="X18" s="10"/>
      <c r="Y18" s="10"/>
      <c r="Z18" s="10"/>
    </row>
    <row r="19" ht="12.75" customHeight="1" outlineLevel="1">
      <c r="A19" s="120" t="s">
        <v>2073</v>
      </c>
      <c r="B19" s="120" t="s">
        <v>2074</v>
      </c>
      <c r="C19" s="120" t="s">
        <v>2075</v>
      </c>
      <c r="D19" s="120" t="s">
        <v>2076</v>
      </c>
      <c r="E19" s="120" t="s">
        <v>2077</v>
      </c>
      <c r="F19" s="120" t="s">
        <v>227</v>
      </c>
      <c r="G19" s="122">
        <v>45935.0</v>
      </c>
      <c r="H19" s="120" t="s">
        <v>258</v>
      </c>
      <c r="I19" s="120" t="s">
        <v>227</v>
      </c>
      <c r="J19" s="130">
        <v>45971.0</v>
      </c>
      <c r="K19" s="120" t="s">
        <v>749</v>
      </c>
      <c r="L19" s="120" t="s">
        <v>227</v>
      </c>
      <c r="M19" s="130">
        <v>46004.0</v>
      </c>
      <c r="N19" s="120" t="s">
        <v>782</v>
      </c>
      <c r="O19" s="79"/>
      <c r="P19" s="57"/>
      <c r="Q19" s="89"/>
      <c r="R19" s="10"/>
      <c r="S19" s="10"/>
      <c r="T19" s="10"/>
      <c r="U19" s="10"/>
      <c r="V19" s="10"/>
      <c r="W19" s="10"/>
      <c r="X19" s="10"/>
      <c r="Y19" s="10"/>
      <c r="Z19" s="10"/>
    </row>
    <row r="20" ht="12.75" customHeight="1" outlineLevel="1">
      <c r="A20" s="120" t="s">
        <v>2078</v>
      </c>
      <c r="B20" s="120" t="s">
        <v>2079</v>
      </c>
      <c r="C20" s="120" t="s">
        <v>2080</v>
      </c>
      <c r="D20" s="120" t="s">
        <v>2081</v>
      </c>
      <c r="E20" s="120" t="s">
        <v>2082</v>
      </c>
      <c r="F20" s="120" t="s">
        <v>227</v>
      </c>
      <c r="G20" s="122">
        <v>45935.0</v>
      </c>
      <c r="H20" s="120" t="s">
        <v>258</v>
      </c>
      <c r="I20" s="120" t="s">
        <v>227</v>
      </c>
      <c r="J20" s="130">
        <v>45971.0</v>
      </c>
      <c r="K20" s="120" t="s">
        <v>749</v>
      </c>
      <c r="L20" s="120" t="s">
        <v>227</v>
      </c>
      <c r="M20" s="130">
        <v>46004.0</v>
      </c>
      <c r="N20" s="120" t="s">
        <v>782</v>
      </c>
      <c r="O20" s="79"/>
      <c r="P20" s="57"/>
      <c r="Q20" s="89"/>
      <c r="R20" s="10"/>
      <c r="S20" s="10"/>
      <c r="T20" s="10"/>
      <c r="U20" s="10"/>
      <c r="V20" s="10"/>
      <c r="W20" s="10"/>
      <c r="X20" s="10"/>
      <c r="Y20" s="10"/>
      <c r="Z20" s="10"/>
    </row>
    <row r="21" ht="12.75" customHeight="1" outlineLevel="1">
      <c r="A21" s="120" t="s">
        <v>2083</v>
      </c>
      <c r="B21" s="120" t="s">
        <v>2084</v>
      </c>
      <c r="C21" s="120" t="s">
        <v>2085</v>
      </c>
      <c r="D21" s="120" t="s">
        <v>2086</v>
      </c>
      <c r="E21" s="120" t="s">
        <v>2087</v>
      </c>
      <c r="F21" s="120" t="s">
        <v>227</v>
      </c>
      <c r="G21" s="122">
        <v>45935.0</v>
      </c>
      <c r="H21" s="120" t="s">
        <v>258</v>
      </c>
      <c r="I21" s="120" t="s">
        <v>227</v>
      </c>
      <c r="J21" s="130">
        <v>45971.0</v>
      </c>
      <c r="K21" s="120" t="s">
        <v>749</v>
      </c>
      <c r="L21" s="120" t="s">
        <v>227</v>
      </c>
      <c r="M21" s="130">
        <v>46004.0</v>
      </c>
      <c r="N21" s="120" t="s">
        <v>782</v>
      </c>
      <c r="O21" s="79"/>
      <c r="P21" s="57"/>
      <c r="Q21" s="89"/>
      <c r="R21" s="10"/>
      <c r="S21" s="10"/>
      <c r="T21" s="10"/>
      <c r="U21" s="10"/>
      <c r="V21" s="10"/>
      <c r="W21" s="10"/>
      <c r="X21" s="10"/>
      <c r="Y21" s="10"/>
      <c r="Z21" s="10"/>
    </row>
    <row r="22" ht="12.75" customHeight="1" outlineLevel="1">
      <c r="A22" s="120" t="s">
        <v>2088</v>
      </c>
      <c r="B22" s="120" t="s">
        <v>2089</v>
      </c>
      <c r="C22" s="120" t="s">
        <v>2090</v>
      </c>
      <c r="D22" s="120" t="s">
        <v>2091</v>
      </c>
      <c r="E22" s="120" t="s">
        <v>2092</v>
      </c>
      <c r="F22" s="120" t="s">
        <v>227</v>
      </c>
      <c r="G22" s="122">
        <v>45935.0</v>
      </c>
      <c r="H22" s="120" t="s">
        <v>258</v>
      </c>
      <c r="I22" s="120" t="s">
        <v>227</v>
      </c>
      <c r="J22" s="130">
        <v>45971.0</v>
      </c>
      <c r="K22" s="120" t="s">
        <v>749</v>
      </c>
      <c r="L22" s="120" t="s">
        <v>227</v>
      </c>
      <c r="M22" s="130">
        <v>46004.0</v>
      </c>
      <c r="N22" s="120" t="s">
        <v>782</v>
      </c>
      <c r="O22" s="79"/>
      <c r="P22" s="57"/>
      <c r="Q22" s="89"/>
      <c r="R22" s="10"/>
      <c r="S22" s="10"/>
      <c r="T22" s="10"/>
      <c r="U22" s="10"/>
      <c r="V22" s="10"/>
      <c r="W22" s="10"/>
      <c r="X22" s="10"/>
      <c r="Y22" s="10"/>
      <c r="Z22" s="10"/>
    </row>
    <row r="23" ht="12.75" customHeight="1" outlineLevel="1">
      <c r="A23" s="120" t="s">
        <v>2093</v>
      </c>
      <c r="B23" s="120" t="s">
        <v>2094</v>
      </c>
      <c r="C23" s="120" t="s">
        <v>2095</v>
      </c>
      <c r="D23" s="120" t="s">
        <v>2096</v>
      </c>
      <c r="E23" s="120" t="s">
        <v>2097</v>
      </c>
      <c r="F23" s="120" t="s">
        <v>227</v>
      </c>
      <c r="G23" s="122">
        <v>45935.0</v>
      </c>
      <c r="H23" s="120" t="s">
        <v>258</v>
      </c>
      <c r="I23" s="120" t="s">
        <v>227</v>
      </c>
      <c r="J23" s="130">
        <v>45971.0</v>
      </c>
      <c r="K23" s="120" t="s">
        <v>749</v>
      </c>
      <c r="L23" s="120" t="s">
        <v>227</v>
      </c>
      <c r="M23" s="130">
        <v>46004.0</v>
      </c>
      <c r="N23" s="120" t="s">
        <v>782</v>
      </c>
      <c r="O23" s="79"/>
      <c r="P23" s="57"/>
      <c r="Q23" s="89"/>
      <c r="R23" s="10"/>
      <c r="S23" s="10"/>
      <c r="T23" s="10"/>
      <c r="U23" s="10"/>
      <c r="V23" s="10"/>
      <c r="W23" s="10"/>
      <c r="X23" s="10"/>
      <c r="Y23" s="10"/>
      <c r="Z23" s="10"/>
    </row>
    <row r="24" ht="12.75" customHeight="1" outlineLevel="1">
      <c r="A24" s="120" t="s">
        <v>2098</v>
      </c>
      <c r="B24" s="120" t="s">
        <v>2094</v>
      </c>
      <c r="C24" s="120" t="s">
        <v>2099</v>
      </c>
      <c r="D24" s="120" t="s">
        <v>2100</v>
      </c>
      <c r="E24" s="120" t="s">
        <v>2101</v>
      </c>
      <c r="F24" s="120" t="s">
        <v>227</v>
      </c>
      <c r="G24" s="122">
        <v>45935.0</v>
      </c>
      <c r="H24" s="120" t="s">
        <v>258</v>
      </c>
      <c r="I24" s="120" t="s">
        <v>227</v>
      </c>
      <c r="J24" s="130">
        <v>45971.0</v>
      </c>
      <c r="K24" s="120" t="s">
        <v>749</v>
      </c>
      <c r="L24" s="120" t="s">
        <v>227</v>
      </c>
      <c r="M24" s="130">
        <v>46004.0</v>
      </c>
      <c r="N24" s="120" t="s">
        <v>782</v>
      </c>
      <c r="O24" s="79"/>
      <c r="P24" s="57"/>
      <c r="Q24" s="89"/>
      <c r="R24" s="10"/>
      <c r="S24" s="10"/>
      <c r="T24" s="10"/>
      <c r="U24" s="10"/>
      <c r="V24" s="10"/>
      <c r="W24" s="10"/>
      <c r="X24" s="10"/>
      <c r="Y24" s="10"/>
      <c r="Z24" s="10"/>
    </row>
    <row r="25" ht="12.75" customHeight="1">
      <c r="A25" s="116" t="s">
        <v>2102</v>
      </c>
      <c r="B25" s="117"/>
      <c r="C25" s="117"/>
      <c r="D25" s="117"/>
      <c r="E25" s="117"/>
      <c r="F25" s="117"/>
      <c r="G25" s="117"/>
      <c r="H25" s="117"/>
      <c r="I25" s="117"/>
      <c r="J25" s="117"/>
      <c r="K25" s="117"/>
      <c r="L25" s="117"/>
      <c r="M25" s="117"/>
      <c r="N25" s="117"/>
      <c r="O25" s="117"/>
      <c r="P25" s="57"/>
      <c r="Q25" s="89"/>
      <c r="R25" s="10"/>
      <c r="S25" s="10"/>
      <c r="T25" s="10"/>
      <c r="U25" s="10"/>
      <c r="V25" s="10"/>
      <c r="W25" s="10"/>
      <c r="X25" s="10"/>
      <c r="Y25" s="10"/>
      <c r="Z25" s="10"/>
    </row>
    <row r="26" ht="12.75" customHeight="1">
      <c r="A26" s="120" t="s">
        <v>2103</v>
      </c>
      <c r="B26" s="120" t="s">
        <v>2104</v>
      </c>
      <c r="C26" s="120" t="s">
        <v>2105</v>
      </c>
      <c r="D26" s="120" t="s">
        <v>2106</v>
      </c>
      <c r="E26" s="120" t="s">
        <v>933</v>
      </c>
      <c r="F26" s="120" t="s">
        <v>227</v>
      </c>
      <c r="G26" s="122">
        <v>45935.0</v>
      </c>
      <c r="H26" s="120" t="s">
        <v>258</v>
      </c>
      <c r="I26" s="120" t="s">
        <v>227</v>
      </c>
      <c r="J26" s="130">
        <v>45971.0</v>
      </c>
      <c r="K26" s="120" t="s">
        <v>749</v>
      </c>
      <c r="L26" s="120" t="s">
        <v>227</v>
      </c>
      <c r="M26" s="130">
        <v>46004.0</v>
      </c>
      <c r="N26" s="120" t="s">
        <v>782</v>
      </c>
      <c r="O26" s="123"/>
      <c r="P26" s="57"/>
      <c r="Q26" s="89"/>
      <c r="R26" s="10"/>
      <c r="S26" s="10"/>
      <c r="T26" s="10"/>
      <c r="U26" s="10"/>
      <c r="V26" s="10"/>
      <c r="W26" s="10"/>
      <c r="X26" s="10"/>
      <c r="Y26" s="10"/>
      <c r="Z26" s="10"/>
    </row>
    <row r="27" ht="12.75" customHeight="1">
      <c r="A27" s="120" t="s">
        <v>2107</v>
      </c>
      <c r="B27" s="120" t="s">
        <v>2108</v>
      </c>
      <c r="C27" s="120" t="s">
        <v>2109</v>
      </c>
      <c r="D27" s="120" t="s">
        <v>2110</v>
      </c>
      <c r="E27" s="120" t="s">
        <v>685</v>
      </c>
      <c r="F27" s="120" t="s">
        <v>227</v>
      </c>
      <c r="G27" s="122">
        <v>45935.0</v>
      </c>
      <c r="H27" s="120" t="s">
        <v>258</v>
      </c>
      <c r="I27" s="120" t="s">
        <v>227</v>
      </c>
      <c r="J27" s="130">
        <v>45971.0</v>
      </c>
      <c r="K27" s="120" t="s">
        <v>749</v>
      </c>
      <c r="L27" s="120" t="s">
        <v>227</v>
      </c>
      <c r="M27" s="130">
        <v>46004.0</v>
      </c>
      <c r="N27" s="120" t="s">
        <v>782</v>
      </c>
      <c r="O27" s="79"/>
      <c r="P27" s="57"/>
      <c r="Q27" s="89"/>
      <c r="R27" s="10"/>
      <c r="S27" s="10"/>
      <c r="T27" s="10"/>
      <c r="U27" s="10"/>
      <c r="V27" s="10"/>
      <c r="W27" s="10"/>
      <c r="X27" s="10"/>
      <c r="Y27" s="10"/>
      <c r="Z27" s="10"/>
    </row>
    <row r="28" ht="12.75" customHeight="1">
      <c r="A28" s="120" t="s">
        <v>2111</v>
      </c>
      <c r="B28" s="120" t="s">
        <v>2112</v>
      </c>
      <c r="C28" s="120" t="s">
        <v>2113</v>
      </c>
      <c r="D28" s="120" t="s">
        <v>2110</v>
      </c>
      <c r="E28" s="120" t="s">
        <v>2114</v>
      </c>
      <c r="F28" s="120" t="s">
        <v>227</v>
      </c>
      <c r="G28" s="122">
        <v>45935.0</v>
      </c>
      <c r="H28" s="120" t="s">
        <v>258</v>
      </c>
      <c r="I28" s="120" t="s">
        <v>227</v>
      </c>
      <c r="J28" s="130">
        <v>45971.0</v>
      </c>
      <c r="K28" s="120" t="s">
        <v>749</v>
      </c>
      <c r="L28" s="120" t="s">
        <v>227</v>
      </c>
      <c r="M28" s="130">
        <v>46004.0</v>
      </c>
      <c r="N28" s="120" t="s">
        <v>782</v>
      </c>
      <c r="O28" s="79"/>
      <c r="P28" s="57"/>
      <c r="Q28" s="89"/>
      <c r="R28" s="10"/>
      <c r="S28" s="10"/>
      <c r="T28" s="10"/>
      <c r="U28" s="10"/>
      <c r="V28" s="10"/>
      <c r="W28" s="10"/>
      <c r="X28" s="10"/>
      <c r="Y28" s="10"/>
      <c r="Z28" s="10"/>
    </row>
    <row r="29" ht="12.75" customHeight="1">
      <c r="A29" s="120" t="s">
        <v>2115</v>
      </c>
      <c r="B29" s="120" t="s">
        <v>2116</v>
      </c>
      <c r="C29" s="120" t="s">
        <v>2117</v>
      </c>
      <c r="D29" s="120" t="s">
        <v>2118</v>
      </c>
      <c r="E29" s="120" t="s">
        <v>2119</v>
      </c>
      <c r="F29" s="120" t="s">
        <v>227</v>
      </c>
      <c r="G29" s="122">
        <v>45935.0</v>
      </c>
      <c r="H29" s="120" t="s">
        <v>258</v>
      </c>
      <c r="I29" s="120" t="s">
        <v>227</v>
      </c>
      <c r="J29" s="130">
        <v>45971.0</v>
      </c>
      <c r="K29" s="120" t="s">
        <v>749</v>
      </c>
      <c r="L29" s="120" t="s">
        <v>227</v>
      </c>
      <c r="M29" s="130">
        <v>46004.0</v>
      </c>
      <c r="N29" s="120" t="s">
        <v>782</v>
      </c>
      <c r="O29" s="79"/>
      <c r="P29" s="57"/>
      <c r="Q29" s="89"/>
      <c r="R29" s="10"/>
      <c r="S29" s="10"/>
      <c r="T29" s="10"/>
      <c r="U29" s="10"/>
      <c r="V29" s="10"/>
      <c r="W29" s="10"/>
      <c r="X29" s="10"/>
      <c r="Y29" s="10"/>
      <c r="Z29" s="10"/>
    </row>
    <row r="30" ht="12.75" customHeight="1">
      <c r="A30" s="116" t="s">
        <v>2120</v>
      </c>
      <c r="B30" s="117"/>
      <c r="C30" s="117"/>
      <c r="D30" s="117"/>
      <c r="E30" s="117"/>
      <c r="F30" s="117"/>
      <c r="G30" s="117"/>
      <c r="H30" s="117"/>
      <c r="I30" s="117"/>
      <c r="J30" s="117"/>
      <c r="K30" s="117"/>
      <c r="L30" s="117"/>
      <c r="M30" s="117"/>
      <c r="N30" s="117"/>
      <c r="O30" s="117"/>
      <c r="P30" s="57"/>
      <c r="Q30" s="89"/>
      <c r="R30" s="10"/>
      <c r="S30" s="10"/>
      <c r="T30" s="10"/>
      <c r="U30" s="10"/>
      <c r="V30" s="10"/>
      <c r="W30" s="10"/>
      <c r="X30" s="10"/>
      <c r="Y30" s="10"/>
      <c r="Z30" s="10"/>
    </row>
    <row r="31" ht="12.75" customHeight="1">
      <c r="A31" s="120" t="s">
        <v>2121</v>
      </c>
      <c r="B31" s="120" t="s">
        <v>2122</v>
      </c>
      <c r="C31" s="120" t="s">
        <v>2123</v>
      </c>
      <c r="D31" s="120" t="s">
        <v>2124</v>
      </c>
      <c r="E31" s="120" t="s">
        <v>2125</v>
      </c>
      <c r="F31" s="120" t="s">
        <v>227</v>
      </c>
      <c r="G31" s="122">
        <v>45935.0</v>
      </c>
      <c r="H31" s="120" t="s">
        <v>258</v>
      </c>
      <c r="I31" s="120" t="s">
        <v>227</v>
      </c>
      <c r="J31" s="130">
        <v>45971.0</v>
      </c>
      <c r="K31" s="120" t="s">
        <v>749</v>
      </c>
      <c r="L31" s="120" t="s">
        <v>227</v>
      </c>
      <c r="M31" s="130">
        <v>46004.0</v>
      </c>
      <c r="N31" s="120" t="s">
        <v>782</v>
      </c>
      <c r="O31" s="123"/>
      <c r="P31" s="57"/>
      <c r="Q31" s="89"/>
      <c r="R31" s="10"/>
      <c r="S31" s="10"/>
      <c r="T31" s="10"/>
      <c r="U31" s="10"/>
      <c r="V31" s="10"/>
      <c r="W31" s="10"/>
      <c r="X31" s="10"/>
      <c r="Y31" s="10"/>
      <c r="Z31" s="10"/>
    </row>
    <row r="32" ht="12.75" customHeight="1">
      <c r="A32" s="120" t="s">
        <v>2126</v>
      </c>
      <c r="B32" s="120" t="s">
        <v>2127</v>
      </c>
      <c r="C32" s="120" t="s">
        <v>2128</v>
      </c>
      <c r="D32" s="120" t="s">
        <v>2129</v>
      </c>
      <c r="E32" s="120" t="s">
        <v>2130</v>
      </c>
      <c r="F32" s="120" t="s">
        <v>227</v>
      </c>
      <c r="G32" s="122">
        <v>45935.0</v>
      </c>
      <c r="H32" s="120" t="s">
        <v>258</v>
      </c>
      <c r="I32" s="120" t="s">
        <v>227</v>
      </c>
      <c r="J32" s="130">
        <v>45971.0</v>
      </c>
      <c r="K32" s="120" t="s">
        <v>749</v>
      </c>
      <c r="L32" s="120" t="s">
        <v>227</v>
      </c>
      <c r="M32" s="130">
        <v>46004.0</v>
      </c>
      <c r="N32" s="120" t="s">
        <v>782</v>
      </c>
      <c r="O32" s="79"/>
      <c r="P32" s="57"/>
      <c r="Q32" s="89"/>
      <c r="R32" s="10"/>
      <c r="S32" s="10"/>
      <c r="T32" s="10"/>
      <c r="U32" s="10"/>
      <c r="V32" s="10"/>
      <c r="W32" s="10"/>
      <c r="X32" s="10"/>
      <c r="Y32" s="10"/>
      <c r="Z32" s="10"/>
    </row>
    <row r="33" ht="12.75" customHeight="1">
      <c r="A33" s="120" t="s">
        <v>2131</v>
      </c>
      <c r="B33" s="120" t="s">
        <v>2132</v>
      </c>
      <c r="C33" s="120" t="s">
        <v>2133</v>
      </c>
      <c r="D33" s="120" t="s">
        <v>2134</v>
      </c>
      <c r="E33" s="120" t="s">
        <v>685</v>
      </c>
      <c r="F33" s="120" t="s">
        <v>227</v>
      </c>
      <c r="G33" s="122">
        <v>45935.0</v>
      </c>
      <c r="H33" s="120" t="s">
        <v>258</v>
      </c>
      <c r="I33" s="120" t="s">
        <v>227</v>
      </c>
      <c r="J33" s="130">
        <v>45971.0</v>
      </c>
      <c r="K33" s="120" t="s">
        <v>749</v>
      </c>
      <c r="L33" s="120" t="s">
        <v>227</v>
      </c>
      <c r="M33" s="130">
        <v>46004.0</v>
      </c>
      <c r="N33" s="120" t="s">
        <v>782</v>
      </c>
      <c r="O33" s="79"/>
      <c r="P33" s="57"/>
      <c r="Q33" s="89"/>
      <c r="R33" s="10"/>
      <c r="S33" s="10"/>
      <c r="T33" s="10"/>
      <c r="U33" s="10"/>
      <c r="V33" s="10"/>
      <c r="W33" s="10"/>
      <c r="X33" s="10"/>
      <c r="Y33" s="10"/>
      <c r="Z33" s="10"/>
    </row>
    <row r="34" ht="12.75" customHeight="1">
      <c r="A34" s="120" t="s">
        <v>2135</v>
      </c>
      <c r="B34" s="120" t="s">
        <v>2136</v>
      </c>
      <c r="C34" s="120" t="s">
        <v>2137</v>
      </c>
      <c r="D34" s="120" t="s">
        <v>2138</v>
      </c>
      <c r="E34" s="120" t="s">
        <v>685</v>
      </c>
      <c r="F34" s="120" t="s">
        <v>227</v>
      </c>
      <c r="G34" s="122">
        <v>45935.0</v>
      </c>
      <c r="H34" s="120" t="s">
        <v>258</v>
      </c>
      <c r="I34" s="120" t="s">
        <v>227</v>
      </c>
      <c r="J34" s="130">
        <v>45971.0</v>
      </c>
      <c r="K34" s="120" t="s">
        <v>749</v>
      </c>
      <c r="L34" s="120" t="s">
        <v>227</v>
      </c>
      <c r="M34" s="130">
        <v>46004.0</v>
      </c>
      <c r="N34" s="120" t="s">
        <v>782</v>
      </c>
      <c r="O34" s="79"/>
      <c r="P34" s="57"/>
      <c r="Q34" s="89"/>
      <c r="R34" s="10"/>
      <c r="S34" s="10"/>
      <c r="T34" s="10"/>
      <c r="U34" s="10"/>
      <c r="V34" s="10"/>
      <c r="W34" s="10"/>
      <c r="X34" s="10"/>
      <c r="Y34" s="10"/>
      <c r="Z34" s="10"/>
    </row>
    <row r="35" ht="12.75" customHeight="1">
      <c r="A35" s="120" t="s">
        <v>2139</v>
      </c>
      <c r="B35" s="120" t="s">
        <v>2140</v>
      </c>
      <c r="C35" s="120" t="s">
        <v>2141</v>
      </c>
      <c r="D35" s="120" t="s">
        <v>2142</v>
      </c>
      <c r="E35" s="120" t="s">
        <v>2143</v>
      </c>
      <c r="F35" s="120" t="s">
        <v>227</v>
      </c>
      <c r="G35" s="122">
        <v>45935.0</v>
      </c>
      <c r="H35" s="120" t="s">
        <v>258</v>
      </c>
      <c r="I35" s="120" t="s">
        <v>227</v>
      </c>
      <c r="J35" s="130">
        <v>45971.0</v>
      </c>
      <c r="K35" s="120" t="s">
        <v>749</v>
      </c>
      <c r="L35" s="120" t="s">
        <v>227</v>
      </c>
      <c r="M35" s="130">
        <v>46004.0</v>
      </c>
      <c r="N35" s="120" t="s">
        <v>782</v>
      </c>
      <c r="O35" s="79"/>
      <c r="P35" s="57"/>
      <c r="Q35" s="89"/>
      <c r="R35" s="10"/>
      <c r="S35" s="10"/>
      <c r="T35" s="10"/>
      <c r="U35" s="10"/>
      <c r="V35" s="10"/>
      <c r="W35" s="10"/>
      <c r="X35" s="10"/>
      <c r="Y35" s="10"/>
      <c r="Z35" s="10"/>
    </row>
    <row r="36" ht="12.75" customHeight="1">
      <c r="A36" s="116" t="s">
        <v>2144</v>
      </c>
      <c r="B36" s="117"/>
      <c r="C36" s="117"/>
      <c r="D36" s="117"/>
      <c r="E36" s="117"/>
      <c r="F36" s="117"/>
      <c r="G36" s="117"/>
      <c r="H36" s="117"/>
      <c r="I36" s="117"/>
      <c r="J36" s="117"/>
      <c r="K36" s="117"/>
      <c r="L36" s="117"/>
      <c r="M36" s="117"/>
      <c r="N36" s="117"/>
      <c r="O36" s="117"/>
      <c r="P36" s="57"/>
      <c r="Q36" s="89"/>
      <c r="R36" s="10"/>
      <c r="S36" s="10"/>
      <c r="T36" s="10"/>
      <c r="U36" s="10"/>
      <c r="V36" s="10"/>
      <c r="W36" s="10"/>
      <c r="X36" s="10"/>
      <c r="Y36" s="10"/>
      <c r="Z36" s="10"/>
    </row>
    <row r="37" ht="12.75" customHeight="1">
      <c r="A37" s="120" t="s">
        <v>2145</v>
      </c>
      <c r="B37" s="120" t="s">
        <v>2146</v>
      </c>
      <c r="C37" s="120" t="s">
        <v>2147</v>
      </c>
      <c r="D37" s="120" t="s">
        <v>2148</v>
      </c>
      <c r="E37" s="120" t="s">
        <v>933</v>
      </c>
      <c r="F37" s="120" t="s">
        <v>227</v>
      </c>
      <c r="G37" s="122">
        <v>45935.0</v>
      </c>
      <c r="H37" s="120" t="s">
        <v>258</v>
      </c>
      <c r="I37" s="120" t="s">
        <v>227</v>
      </c>
      <c r="J37" s="130">
        <v>45971.0</v>
      </c>
      <c r="K37" s="120" t="s">
        <v>749</v>
      </c>
      <c r="L37" s="120" t="s">
        <v>227</v>
      </c>
      <c r="M37" s="130">
        <v>46004.0</v>
      </c>
      <c r="N37" s="120" t="s">
        <v>782</v>
      </c>
      <c r="O37" s="123"/>
      <c r="P37" s="57"/>
      <c r="Q37" s="89"/>
      <c r="R37" s="10"/>
      <c r="S37" s="10"/>
      <c r="T37" s="10"/>
      <c r="U37" s="10"/>
      <c r="V37" s="10"/>
      <c r="W37" s="10"/>
      <c r="X37" s="10"/>
      <c r="Y37" s="10"/>
      <c r="Z37" s="10"/>
    </row>
    <row r="38" ht="12.75" customHeight="1">
      <c r="A38" s="120" t="s">
        <v>2149</v>
      </c>
      <c r="B38" s="120" t="s">
        <v>2150</v>
      </c>
      <c r="C38" s="120" t="s">
        <v>2151</v>
      </c>
      <c r="D38" s="120" t="s">
        <v>2152</v>
      </c>
      <c r="E38" s="120" t="s">
        <v>2153</v>
      </c>
      <c r="F38" s="120" t="s">
        <v>227</v>
      </c>
      <c r="G38" s="122">
        <v>45935.0</v>
      </c>
      <c r="H38" s="120" t="s">
        <v>258</v>
      </c>
      <c r="I38" s="120" t="s">
        <v>227</v>
      </c>
      <c r="J38" s="130">
        <v>45971.0</v>
      </c>
      <c r="K38" s="120" t="s">
        <v>749</v>
      </c>
      <c r="L38" s="120" t="s">
        <v>227</v>
      </c>
      <c r="M38" s="130">
        <v>46004.0</v>
      </c>
      <c r="N38" s="120" t="s">
        <v>782</v>
      </c>
      <c r="O38" s="79"/>
      <c r="P38" s="57"/>
      <c r="Q38" s="89"/>
      <c r="R38" s="10"/>
      <c r="S38" s="10"/>
      <c r="T38" s="10"/>
      <c r="U38" s="10"/>
      <c r="V38" s="10"/>
      <c r="W38" s="10"/>
      <c r="X38" s="10"/>
      <c r="Y38" s="10"/>
      <c r="Z38" s="10"/>
    </row>
    <row r="39" ht="12.75" customHeight="1">
      <c r="A39" s="120" t="s">
        <v>2154</v>
      </c>
      <c r="B39" s="120" t="s">
        <v>2155</v>
      </c>
      <c r="C39" s="120" t="s">
        <v>2156</v>
      </c>
      <c r="D39" s="120" t="s">
        <v>2110</v>
      </c>
      <c r="E39" s="120" t="s">
        <v>685</v>
      </c>
      <c r="F39" s="120" t="s">
        <v>227</v>
      </c>
      <c r="G39" s="122">
        <v>45935.0</v>
      </c>
      <c r="H39" s="120" t="s">
        <v>258</v>
      </c>
      <c r="I39" s="120" t="s">
        <v>227</v>
      </c>
      <c r="J39" s="130">
        <v>45971.0</v>
      </c>
      <c r="K39" s="120" t="s">
        <v>749</v>
      </c>
      <c r="L39" s="120" t="s">
        <v>227</v>
      </c>
      <c r="M39" s="130">
        <v>46004.0</v>
      </c>
      <c r="N39" s="120" t="s">
        <v>782</v>
      </c>
      <c r="O39" s="79"/>
      <c r="P39" s="57"/>
      <c r="Q39" s="89"/>
      <c r="R39" s="10"/>
      <c r="S39" s="10"/>
      <c r="T39" s="10"/>
      <c r="U39" s="10"/>
      <c r="V39" s="10"/>
      <c r="W39" s="10"/>
      <c r="X39" s="10"/>
      <c r="Y39" s="10"/>
      <c r="Z39" s="10"/>
    </row>
    <row r="40" ht="12.75" customHeight="1">
      <c r="A40" s="120" t="s">
        <v>2157</v>
      </c>
      <c r="B40" s="120" t="s">
        <v>2158</v>
      </c>
      <c r="C40" s="120" t="s">
        <v>2159</v>
      </c>
      <c r="D40" s="120" t="s">
        <v>2110</v>
      </c>
      <c r="E40" s="120" t="s">
        <v>2160</v>
      </c>
      <c r="F40" s="120" t="s">
        <v>227</v>
      </c>
      <c r="G40" s="122">
        <v>45935.0</v>
      </c>
      <c r="H40" s="120" t="s">
        <v>258</v>
      </c>
      <c r="I40" s="120" t="s">
        <v>227</v>
      </c>
      <c r="J40" s="130">
        <v>45971.0</v>
      </c>
      <c r="K40" s="120" t="s">
        <v>749</v>
      </c>
      <c r="L40" s="120" t="s">
        <v>227</v>
      </c>
      <c r="M40" s="130">
        <v>46004.0</v>
      </c>
      <c r="N40" s="120" t="s">
        <v>782</v>
      </c>
      <c r="O40" s="79"/>
      <c r="P40" s="57"/>
      <c r="Q40" s="89"/>
      <c r="R40" s="10"/>
      <c r="S40" s="10"/>
      <c r="T40" s="10"/>
      <c r="U40" s="10"/>
      <c r="V40" s="10"/>
      <c r="W40" s="10"/>
      <c r="X40" s="10"/>
      <c r="Y40" s="10"/>
      <c r="Z40" s="10"/>
    </row>
    <row r="41" ht="12.75" customHeight="1">
      <c r="A41" s="120" t="s">
        <v>2161</v>
      </c>
      <c r="B41" s="120" t="s">
        <v>2162</v>
      </c>
      <c r="C41" s="120" t="s">
        <v>2163</v>
      </c>
      <c r="D41" s="120" t="s">
        <v>2164</v>
      </c>
      <c r="E41" s="120" t="s">
        <v>933</v>
      </c>
      <c r="F41" s="120" t="s">
        <v>227</v>
      </c>
      <c r="G41" s="122">
        <v>45935.0</v>
      </c>
      <c r="H41" s="120" t="s">
        <v>258</v>
      </c>
      <c r="I41" s="120" t="s">
        <v>227</v>
      </c>
      <c r="J41" s="130">
        <v>45971.0</v>
      </c>
      <c r="K41" s="120" t="s">
        <v>749</v>
      </c>
      <c r="L41" s="120" t="s">
        <v>227</v>
      </c>
      <c r="M41" s="130">
        <v>46004.0</v>
      </c>
      <c r="N41" s="120" t="s">
        <v>782</v>
      </c>
      <c r="O41" s="79"/>
      <c r="P41" s="57"/>
      <c r="Q41" s="89"/>
      <c r="R41" s="10"/>
      <c r="S41" s="10"/>
      <c r="T41" s="10"/>
      <c r="U41" s="10"/>
      <c r="V41" s="10"/>
      <c r="W41" s="10"/>
      <c r="X41" s="10"/>
      <c r="Y41" s="10"/>
      <c r="Z41" s="10"/>
    </row>
    <row r="42" ht="12.75" customHeight="1">
      <c r="A42" s="116" t="s">
        <v>2165</v>
      </c>
      <c r="B42" s="117"/>
      <c r="C42" s="117"/>
      <c r="D42" s="117"/>
      <c r="E42" s="117"/>
      <c r="F42" s="117"/>
      <c r="G42" s="117"/>
      <c r="H42" s="117"/>
      <c r="I42" s="117"/>
      <c r="J42" s="117"/>
      <c r="K42" s="117"/>
      <c r="L42" s="117"/>
      <c r="M42" s="117"/>
      <c r="N42" s="117"/>
      <c r="O42" s="117"/>
      <c r="P42" s="57"/>
      <c r="Q42" s="89"/>
      <c r="R42" s="10"/>
      <c r="S42" s="10"/>
      <c r="T42" s="10"/>
      <c r="U42" s="10"/>
      <c r="V42" s="10"/>
      <c r="W42" s="10"/>
      <c r="X42" s="10"/>
      <c r="Y42" s="10"/>
      <c r="Z42" s="10"/>
    </row>
    <row r="43" ht="12.75" customHeight="1">
      <c r="A43" s="120" t="s">
        <v>2166</v>
      </c>
      <c r="B43" s="120" t="s">
        <v>2167</v>
      </c>
      <c r="C43" s="120" t="s">
        <v>2168</v>
      </c>
      <c r="D43" s="120" t="s">
        <v>2169</v>
      </c>
      <c r="E43" s="120" t="s">
        <v>2170</v>
      </c>
      <c r="F43" s="120" t="s">
        <v>227</v>
      </c>
      <c r="G43" s="122">
        <v>45935.0</v>
      </c>
      <c r="H43" s="120" t="s">
        <v>258</v>
      </c>
      <c r="I43" s="120" t="s">
        <v>227</v>
      </c>
      <c r="J43" s="130">
        <v>45971.0</v>
      </c>
      <c r="K43" s="120" t="s">
        <v>749</v>
      </c>
      <c r="L43" s="120" t="s">
        <v>227</v>
      </c>
      <c r="M43" s="130">
        <v>46004.0</v>
      </c>
      <c r="N43" s="120" t="s">
        <v>782</v>
      </c>
      <c r="O43" s="123"/>
      <c r="P43" s="57"/>
      <c r="Q43" s="89"/>
      <c r="R43" s="10"/>
      <c r="S43" s="10"/>
      <c r="T43" s="10"/>
      <c r="U43" s="10"/>
      <c r="V43" s="10"/>
      <c r="W43" s="10"/>
      <c r="X43" s="10"/>
      <c r="Y43" s="10"/>
      <c r="Z43" s="10"/>
    </row>
    <row r="44" ht="12.75" customHeight="1">
      <c r="A44" s="120" t="s">
        <v>2171</v>
      </c>
      <c r="B44" s="120" t="s">
        <v>2172</v>
      </c>
      <c r="C44" s="120" t="s">
        <v>2173</v>
      </c>
      <c r="D44" s="120" t="s">
        <v>2174</v>
      </c>
      <c r="E44" s="120" t="s">
        <v>2175</v>
      </c>
      <c r="F44" s="120" t="s">
        <v>227</v>
      </c>
      <c r="G44" s="122">
        <v>45935.0</v>
      </c>
      <c r="H44" s="120" t="s">
        <v>258</v>
      </c>
      <c r="I44" s="120" t="s">
        <v>227</v>
      </c>
      <c r="J44" s="130">
        <v>45971.0</v>
      </c>
      <c r="K44" s="120" t="s">
        <v>749</v>
      </c>
      <c r="L44" s="120" t="s">
        <v>227</v>
      </c>
      <c r="M44" s="130">
        <v>46004.0</v>
      </c>
      <c r="N44" s="120" t="s">
        <v>782</v>
      </c>
      <c r="O44" s="79"/>
      <c r="P44" s="57"/>
      <c r="Q44" s="89"/>
      <c r="R44" s="10"/>
      <c r="S44" s="10"/>
      <c r="T44" s="10"/>
      <c r="U44" s="10"/>
      <c r="V44" s="10"/>
      <c r="W44" s="10"/>
      <c r="X44" s="10"/>
      <c r="Y44" s="10"/>
      <c r="Z44" s="10"/>
    </row>
    <row r="45" ht="12.75" customHeight="1">
      <c r="A45" s="120" t="s">
        <v>2176</v>
      </c>
      <c r="B45" s="120" t="s">
        <v>2177</v>
      </c>
      <c r="C45" s="120" t="s">
        <v>2178</v>
      </c>
      <c r="D45" s="120" t="s">
        <v>2179</v>
      </c>
      <c r="E45" s="120" t="s">
        <v>2180</v>
      </c>
      <c r="F45" s="120" t="s">
        <v>227</v>
      </c>
      <c r="G45" s="122">
        <v>45935.0</v>
      </c>
      <c r="H45" s="120" t="s">
        <v>258</v>
      </c>
      <c r="I45" s="120" t="s">
        <v>227</v>
      </c>
      <c r="J45" s="130">
        <v>45971.0</v>
      </c>
      <c r="K45" s="120" t="s">
        <v>749</v>
      </c>
      <c r="L45" s="120" t="s">
        <v>227</v>
      </c>
      <c r="M45" s="130">
        <v>46004.0</v>
      </c>
      <c r="N45" s="120" t="s">
        <v>782</v>
      </c>
      <c r="O45" s="79"/>
      <c r="P45" s="57"/>
      <c r="Q45" s="89"/>
      <c r="R45" s="10"/>
      <c r="S45" s="10"/>
      <c r="T45" s="10"/>
      <c r="U45" s="10"/>
      <c r="V45" s="10"/>
      <c r="W45" s="10"/>
      <c r="X45" s="10"/>
      <c r="Y45" s="10"/>
      <c r="Z45" s="10"/>
    </row>
    <row r="46" ht="12.75" customHeight="1">
      <c r="A46" s="120" t="s">
        <v>2181</v>
      </c>
      <c r="B46" s="120" t="s">
        <v>2182</v>
      </c>
      <c r="C46" s="120" t="s">
        <v>2183</v>
      </c>
      <c r="D46" s="120" t="s">
        <v>2184</v>
      </c>
      <c r="E46" s="120" t="s">
        <v>685</v>
      </c>
      <c r="F46" s="120" t="s">
        <v>227</v>
      </c>
      <c r="G46" s="122">
        <v>45935.0</v>
      </c>
      <c r="H46" s="120" t="s">
        <v>258</v>
      </c>
      <c r="I46" s="120" t="s">
        <v>227</v>
      </c>
      <c r="J46" s="130">
        <v>45971.0</v>
      </c>
      <c r="K46" s="120" t="s">
        <v>749</v>
      </c>
      <c r="L46" s="120" t="s">
        <v>227</v>
      </c>
      <c r="M46" s="130">
        <v>46004.0</v>
      </c>
      <c r="N46" s="120" t="s">
        <v>782</v>
      </c>
      <c r="O46" s="79"/>
      <c r="P46" s="57"/>
      <c r="Q46" s="89"/>
      <c r="R46" s="10"/>
      <c r="S46" s="10"/>
      <c r="T46" s="10"/>
      <c r="U46" s="10"/>
      <c r="V46" s="10"/>
      <c r="W46" s="10"/>
      <c r="X46" s="10"/>
      <c r="Y46" s="10"/>
      <c r="Z46" s="10"/>
    </row>
    <row r="47" ht="12.75" customHeight="1">
      <c r="A47" s="120" t="s">
        <v>2185</v>
      </c>
      <c r="B47" s="120" t="s">
        <v>2186</v>
      </c>
      <c r="C47" s="120" t="s">
        <v>2187</v>
      </c>
      <c r="D47" s="120" t="s">
        <v>2188</v>
      </c>
      <c r="E47" s="120" t="s">
        <v>2189</v>
      </c>
      <c r="F47" s="120" t="s">
        <v>227</v>
      </c>
      <c r="G47" s="122">
        <v>45935.0</v>
      </c>
      <c r="H47" s="120" t="s">
        <v>258</v>
      </c>
      <c r="I47" s="120" t="s">
        <v>227</v>
      </c>
      <c r="J47" s="130">
        <v>45971.0</v>
      </c>
      <c r="K47" s="120" t="s">
        <v>749</v>
      </c>
      <c r="L47" s="120" t="s">
        <v>227</v>
      </c>
      <c r="M47" s="130">
        <v>46004.0</v>
      </c>
      <c r="N47" s="120" t="s">
        <v>782</v>
      </c>
      <c r="O47" s="79"/>
      <c r="P47" s="57"/>
      <c r="Q47" s="89"/>
      <c r="R47" s="10"/>
      <c r="S47" s="10"/>
      <c r="T47" s="10"/>
      <c r="U47" s="10"/>
      <c r="V47" s="10"/>
      <c r="W47" s="10"/>
      <c r="X47" s="10"/>
      <c r="Y47" s="10"/>
      <c r="Z47" s="10"/>
    </row>
    <row r="48" ht="12.75" customHeight="1">
      <c r="A48" s="116" t="s">
        <v>2190</v>
      </c>
      <c r="B48" s="117"/>
      <c r="C48" s="117"/>
      <c r="D48" s="117"/>
      <c r="E48" s="117"/>
      <c r="F48" s="117"/>
      <c r="G48" s="117"/>
      <c r="H48" s="117"/>
      <c r="I48" s="117"/>
      <c r="J48" s="117"/>
      <c r="K48" s="117"/>
      <c r="L48" s="117"/>
      <c r="M48" s="117"/>
      <c r="N48" s="117"/>
      <c r="O48" s="117"/>
      <c r="P48" s="57"/>
      <c r="Q48" s="89"/>
      <c r="R48" s="10"/>
      <c r="S48" s="10"/>
      <c r="T48" s="10"/>
      <c r="U48" s="10"/>
      <c r="V48" s="10"/>
      <c r="W48" s="10"/>
      <c r="X48" s="10"/>
      <c r="Y48" s="10"/>
      <c r="Z48" s="10"/>
    </row>
    <row r="49" ht="12.75" customHeight="1">
      <c r="A49" s="120" t="s">
        <v>2191</v>
      </c>
      <c r="B49" s="120" t="s">
        <v>2192</v>
      </c>
      <c r="C49" s="120" t="s">
        <v>2193</v>
      </c>
      <c r="D49" s="120" t="s">
        <v>2194</v>
      </c>
      <c r="E49" s="120" t="s">
        <v>2195</v>
      </c>
      <c r="F49" s="120" t="s">
        <v>227</v>
      </c>
      <c r="G49" s="122">
        <v>45935.0</v>
      </c>
      <c r="H49" s="120" t="s">
        <v>258</v>
      </c>
      <c r="I49" s="120" t="s">
        <v>227</v>
      </c>
      <c r="J49" s="130">
        <v>45971.0</v>
      </c>
      <c r="K49" s="120" t="s">
        <v>749</v>
      </c>
      <c r="L49" s="120" t="s">
        <v>227</v>
      </c>
      <c r="M49" s="130">
        <v>46004.0</v>
      </c>
      <c r="N49" s="120" t="s">
        <v>782</v>
      </c>
      <c r="O49" s="123"/>
      <c r="P49" s="57"/>
      <c r="Q49" s="89"/>
      <c r="R49" s="10"/>
      <c r="S49" s="10"/>
      <c r="T49" s="10"/>
      <c r="U49" s="10"/>
      <c r="V49" s="10"/>
      <c r="W49" s="10"/>
      <c r="X49" s="10"/>
      <c r="Y49" s="10"/>
      <c r="Z49" s="10"/>
    </row>
    <row r="50" ht="12.75" customHeight="1">
      <c r="A50" s="120" t="s">
        <v>2196</v>
      </c>
      <c r="B50" s="120" t="s">
        <v>2197</v>
      </c>
      <c r="C50" s="120" t="s">
        <v>2198</v>
      </c>
      <c r="D50" s="120" t="s">
        <v>2199</v>
      </c>
      <c r="E50" s="120" t="s">
        <v>2175</v>
      </c>
      <c r="F50" s="120" t="s">
        <v>227</v>
      </c>
      <c r="G50" s="122">
        <v>45935.0</v>
      </c>
      <c r="H50" s="120" t="s">
        <v>258</v>
      </c>
      <c r="I50" s="120" t="s">
        <v>227</v>
      </c>
      <c r="J50" s="130">
        <v>45971.0</v>
      </c>
      <c r="K50" s="120" t="s">
        <v>749</v>
      </c>
      <c r="L50" s="120" t="s">
        <v>227</v>
      </c>
      <c r="M50" s="130">
        <v>46004.0</v>
      </c>
      <c r="N50" s="120" t="s">
        <v>782</v>
      </c>
      <c r="O50" s="79"/>
      <c r="P50" s="57"/>
      <c r="Q50" s="89"/>
      <c r="R50" s="10"/>
      <c r="S50" s="10"/>
      <c r="T50" s="10"/>
      <c r="U50" s="10"/>
      <c r="V50" s="10"/>
      <c r="W50" s="10"/>
      <c r="X50" s="10"/>
      <c r="Y50" s="10"/>
      <c r="Z50" s="10"/>
    </row>
    <row r="51" ht="12.75" customHeight="1">
      <c r="A51" s="120" t="s">
        <v>2200</v>
      </c>
      <c r="B51" s="120" t="s">
        <v>2201</v>
      </c>
      <c r="C51" s="120" t="s">
        <v>2202</v>
      </c>
      <c r="D51" s="120" t="s">
        <v>2203</v>
      </c>
      <c r="E51" s="120" t="s">
        <v>2204</v>
      </c>
      <c r="F51" s="120" t="s">
        <v>227</v>
      </c>
      <c r="G51" s="122">
        <v>45935.0</v>
      </c>
      <c r="H51" s="120" t="s">
        <v>258</v>
      </c>
      <c r="I51" s="120" t="s">
        <v>227</v>
      </c>
      <c r="J51" s="130">
        <v>45971.0</v>
      </c>
      <c r="K51" s="120" t="s">
        <v>749</v>
      </c>
      <c r="L51" s="120" t="s">
        <v>227</v>
      </c>
      <c r="M51" s="130">
        <v>46004.0</v>
      </c>
      <c r="N51" s="120" t="s">
        <v>782</v>
      </c>
      <c r="O51" s="79"/>
      <c r="P51" s="57"/>
      <c r="Q51" s="89"/>
      <c r="R51" s="10"/>
      <c r="S51" s="10"/>
      <c r="T51" s="10"/>
      <c r="U51" s="10"/>
      <c r="V51" s="10"/>
      <c r="W51" s="10"/>
      <c r="X51" s="10"/>
      <c r="Y51" s="10"/>
      <c r="Z51" s="10"/>
    </row>
    <row r="52" ht="12.75" customHeight="1">
      <c r="A52" s="120" t="s">
        <v>2205</v>
      </c>
      <c r="B52" s="120" t="s">
        <v>2206</v>
      </c>
      <c r="C52" s="120" t="s">
        <v>2207</v>
      </c>
      <c r="D52" s="120" t="s">
        <v>2208</v>
      </c>
      <c r="E52" s="120" t="s">
        <v>2209</v>
      </c>
      <c r="F52" s="120" t="s">
        <v>227</v>
      </c>
      <c r="G52" s="122">
        <v>45935.0</v>
      </c>
      <c r="H52" s="120" t="s">
        <v>258</v>
      </c>
      <c r="I52" s="120" t="s">
        <v>227</v>
      </c>
      <c r="J52" s="130">
        <v>45971.0</v>
      </c>
      <c r="K52" s="120" t="s">
        <v>749</v>
      </c>
      <c r="L52" s="120" t="s">
        <v>227</v>
      </c>
      <c r="M52" s="130">
        <v>46004.0</v>
      </c>
      <c r="N52" s="120" t="s">
        <v>782</v>
      </c>
      <c r="O52" s="79"/>
      <c r="P52" s="57"/>
      <c r="Q52" s="89"/>
      <c r="R52" s="10"/>
      <c r="S52" s="10"/>
      <c r="T52" s="10"/>
      <c r="U52" s="10"/>
      <c r="V52" s="10"/>
      <c r="W52" s="10"/>
      <c r="X52" s="10"/>
      <c r="Y52" s="10"/>
      <c r="Z52" s="10"/>
    </row>
    <row r="53" ht="12.75" customHeight="1">
      <c r="A53" s="116" t="s">
        <v>2210</v>
      </c>
      <c r="B53" s="117"/>
      <c r="C53" s="117"/>
      <c r="D53" s="117"/>
      <c r="E53" s="117"/>
      <c r="F53" s="117"/>
      <c r="G53" s="117"/>
      <c r="H53" s="117"/>
      <c r="I53" s="117"/>
      <c r="J53" s="117"/>
      <c r="K53" s="117"/>
      <c r="L53" s="117"/>
      <c r="M53" s="117"/>
      <c r="N53" s="117"/>
      <c r="O53" s="117"/>
      <c r="P53" s="57"/>
      <c r="Q53" s="89"/>
      <c r="R53" s="10"/>
      <c r="S53" s="10"/>
      <c r="T53" s="10"/>
      <c r="U53" s="10"/>
      <c r="V53" s="10"/>
      <c r="W53" s="10"/>
      <c r="X53" s="10"/>
      <c r="Y53" s="10"/>
      <c r="Z53" s="10"/>
    </row>
    <row r="54" ht="12.75" customHeight="1">
      <c r="A54" s="120" t="s">
        <v>2211</v>
      </c>
      <c r="B54" s="120" t="s">
        <v>2212</v>
      </c>
      <c r="C54" s="120" t="s">
        <v>2213</v>
      </c>
      <c r="D54" s="120" t="s">
        <v>2214</v>
      </c>
      <c r="E54" s="120" t="s">
        <v>2215</v>
      </c>
      <c r="F54" s="120" t="s">
        <v>227</v>
      </c>
      <c r="G54" s="122">
        <v>45935.0</v>
      </c>
      <c r="H54" s="120" t="s">
        <v>258</v>
      </c>
      <c r="I54" s="120" t="s">
        <v>227</v>
      </c>
      <c r="J54" s="130">
        <v>45971.0</v>
      </c>
      <c r="K54" s="120" t="s">
        <v>749</v>
      </c>
      <c r="L54" s="120" t="s">
        <v>227</v>
      </c>
      <c r="M54" s="130">
        <v>46004.0</v>
      </c>
      <c r="N54" s="120" t="s">
        <v>782</v>
      </c>
      <c r="O54" s="123"/>
      <c r="P54" s="57"/>
      <c r="Q54" s="89"/>
      <c r="R54" s="10"/>
      <c r="S54" s="10"/>
      <c r="T54" s="10"/>
      <c r="U54" s="10"/>
      <c r="V54" s="10"/>
      <c r="W54" s="10"/>
      <c r="X54" s="10"/>
      <c r="Y54" s="10"/>
      <c r="Z54" s="10"/>
    </row>
    <row r="55" ht="12.75" customHeight="1">
      <c r="A55" s="120" t="s">
        <v>2216</v>
      </c>
      <c r="B55" s="120" t="s">
        <v>2217</v>
      </c>
      <c r="C55" s="120" t="s">
        <v>2218</v>
      </c>
      <c r="D55" s="120" t="s">
        <v>2219</v>
      </c>
      <c r="E55" s="120" t="s">
        <v>2220</v>
      </c>
      <c r="F55" s="120" t="s">
        <v>227</v>
      </c>
      <c r="G55" s="122">
        <v>45935.0</v>
      </c>
      <c r="H55" s="120" t="s">
        <v>258</v>
      </c>
      <c r="I55" s="120" t="s">
        <v>227</v>
      </c>
      <c r="J55" s="130">
        <v>45971.0</v>
      </c>
      <c r="K55" s="120" t="s">
        <v>749</v>
      </c>
      <c r="L55" s="120" t="s">
        <v>227</v>
      </c>
      <c r="M55" s="130">
        <v>46004.0</v>
      </c>
      <c r="N55" s="120" t="s">
        <v>782</v>
      </c>
      <c r="O55" s="79"/>
      <c r="P55" s="57"/>
      <c r="Q55" s="89"/>
      <c r="R55" s="10"/>
      <c r="S55" s="10"/>
      <c r="T55" s="10"/>
      <c r="U55" s="10"/>
      <c r="V55" s="10"/>
      <c r="W55" s="10"/>
      <c r="X55" s="10"/>
      <c r="Y55" s="10"/>
      <c r="Z55" s="10"/>
    </row>
    <row r="56" ht="12.75" customHeight="1">
      <c r="A56" s="120" t="s">
        <v>2221</v>
      </c>
      <c r="B56" s="120" t="s">
        <v>2222</v>
      </c>
      <c r="C56" s="120" t="s">
        <v>2223</v>
      </c>
      <c r="D56" s="120" t="s">
        <v>2224</v>
      </c>
      <c r="E56" s="120" t="s">
        <v>2225</v>
      </c>
      <c r="F56" s="120" t="s">
        <v>227</v>
      </c>
      <c r="G56" s="122">
        <v>45935.0</v>
      </c>
      <c r="H56" s="120" t="s">
        <v>258</v>
      </c>
      <c r="I56" s="120" t="s">
        <v>227</v>
      </c>
      <c r="J56" s="130">
        <v>45971.0</v>
      </c>
      <c r="K56" s="120" t="s">
        <v>749</v>
      </c>
      <c r="L56" s="120" t="s">
        <v>227</v>
      </c>
      <c r="M56" s="130">
        <v>46004.0</v>
      </c>
      <c r="N56" s="120" t="s">
        <v>782</v>
      </c>
      <c r="O56" s="79"/>
      <c r="P56" s="57"/>
      <c r="Q56" s="89"/>
      <c r="R56" s="10"/>
      <c r="S56" s="10"/>
      <c r="T56" s="10"/>
      <c r="U56" s="10"/>
      <c r="V56" s="10"/>
      <c r="W56" s="10"/>
      <c r="X56" s="10"/>
      <c r="Y56" s="10"/>
      <c r="Z56" s="10"/>
    </row>
    <row r="57" ht="12.75" customHeight="1">
      <c r="A57" s="120" t="s">
        <v>2226</v>
      </c>
      <c r="B57" s="120" t="s">
        <v>2227</v>
      </c>
      <c r="C57" s="120" t="s">
        <v>2207</v>
      </c>
      <c r="D57" s="120" t="s">
        <v>2208</v>
      </c>
      <c r="E57" s="120" t="s">
        <v>2209</v>
      </c>
      <c r="F57" s="120" t="s">
        <v>227</v>
      </c>
      <c r="G57" s="122">
        <v>45935.0</v>
      </c>
      <c r="H57" s="120" t="s">
        <v>258</v>
      </c>
      <c r="I57" s="120" t="s">
        <v>227</v>
      </c>
      <c r="J57" s="130">
        <v>45971.0</v>
      </c>
      <c r="K57" s="120" t="s">
        <v>749</v>
      </c>
      <c r="L57" s="120" t="s">
        <v>227</v>
      </c>
      <c r="M57" s="130">
        <v>46004.0</v>
      </c>
      <c r="N57" s="120" t="s">
        <v>782</v>
      </c>
      <c r="O57" s="79"/>
      <c r="P57" s="57"/>
      <c r="Q57" s="89"/>
      <c r="R57" s="10"/>
      <c r="S57" s="10"/>
      <c r="T57" s="10"/>
      <c r="U57" s="10"/>
      <c r="V57" s="10"/>
      <c r="W57" s="10"/>
      <c r="X57" s="10"/>
      <c r="Y57" s="10"/>
      <c r="Z57" s="10"/>
    </row>
    <row r="58" ht="12.75" customHeight="1">
      <c r="A58" s="120" t="s">
        <v>2228</v>
      </c>
      <c r="B58" s="120" t="s">
        <v>2229</v>
      </c>
      <c r="C58" s="120" t="s">
        <v>2230</v>
      </c>
      <c r="D58" s="120" t="s">
        <v>2231</v>
      </c>
      <c r="E58" s="120" t="s">
        <v>2175</v>
      </c>
      <c r="F58" s="120" t="s">
        <v>227</v>
      </c>
      <c r="G58" s="122">
        <v>45935.0</v>
      </c>
      <c r="H58" s="120" t="s">
        <v>258</v>
      </c>
      <c r="I58" s="120" t="s">
        <v>227</v>
      </c>
      <c r="J58" s="130">
        <v>45971.0</v>
      </c>
      <c r="K58" s="120" t="s">
        <v>749</v>
      </c>
      <c r="L58" s="120" t="s">
        <v>227</v>
      </c>
      <c r="M58" s="130">
        <v>46004.0</v>
      </c>
      <c r="N58" s="120" t="s">
        <v>782</v>
      </c>
      <c r="O58" s="79"/>
      <c r="P58" s="57"/>
      <c r="Q58" s="89"/>
      <c r="R58" s="10"/>
      <c r="S58" s="10"/>
      <c r="T58" s="10"/>
      <c r="U58" s="10"/>
      <c r="V58" s="10"/>
      <c r="W58" s="10"/>
      <c r="X58" s="10"/>
      <c r="Y58" s="10"/>
      <c r="Z58" s="10"/>
    </row>
    <row r="59" ht="12.75" customHeight="1">
      <c r="A59" s="116" t="s">
        <v>2232</v>
      </c>
      <c r="B59" s="117"/>
      <c r="C59" s="117"/>
      <c r="D59" s="117"/>
      <c r="E59" s="117"/>
      <c r="F59" s="117"/>
      <c r="G59" s="117"/>
      <c r="H59" s="117"/>
      <c r="I59" s="117"/>
      <c r="J59" s="117"/>
      <c r="K59" s="117"/>
      <c r="L59" s="117"/>
      <c r="M59" s="117"/>
      <c r="N59" s="117"/>
      <c r="O59" s="117"/>
      <c r="P59" s="57"/>
      <c r="Q59" s="89"/>
      <c r="R59" s="10"/>
      <c r="S59" s="10"/>
      <c r="T59" s="10"/>
      <c r="U59" s="10"/>
      <c r="V59" s="10"/>
      <c r="W59" s="10"/>
      <c r="X59" s="10"/>
      <c r="Y59" s="10"/>
      <c r="Z59" s="10"/>
    </row>
    <row r="60" ht="12.75" customHeight="1">
      <c r="A60" s="120" t="s">
        <v>2233</v>
      </c>
      <c r="B60" s="120" t="s">
        <v>2234</v>
      </c>
      <c r="C60" s="120" t="s">
        <v>2235</v>
      </c>
      <c r="D60" s="120" t="s">
        <v>2236</v>
      </c>
      <c r="E60" s="120" t="s">
        <v>2237</v>
      </c>
      <c r="F60" s="120" t="s">
        <v>227</v>
      </c>
      <c r="G60" s="122">
        <v>45935.0</v>
      </c>
      <c r="H60" s="120" t="s">
        <v>258</v>
      </c>
      <c r="I60" s="120" t="s">
        <v>227</v>
      </c>
      <c r="J60" s="130">
        <v>45971.0</v>
      </c>
      <c r="K60" s="120" t="s">
        <v>749</v>
      </c>
      <c r="L60" s="120" t="s">
        <v>227</v>
      </c>
      <c r="M60" s="130">
        <v>46004.0</v>
      </c>
      <c r="N60" s="120" t="s">
        <v>782</v>
      </c>
      <c r="O60" s="123"/>
      <c r="P60" s="57"/>
      <c r="Q60" s="89"/>
      <c r="R60" s="10"/>
      <c r="S60" s="10"/>
      <c r="T60" s="10"/>
      <c r="U60" s="10"/>
      <c r="V60" s="10"/>
      <c r="W60" s="10"/>
      <c r="X60" s="10"/>
      <c r="Y60" s="10"/>
      <c r="Z60" s="10"/>
    </row>
    <row r="61" ht="12.75" customHeight="1">
      <c r="A61" s="120" t="s">
        <v>2238</v>
      </c>
      <c r="B61" s="120" t="s">
        <v>2239</v>
      </c>
      <c r="C61" s="120" t="s">
        <v>2240</v>
      </c>
      <c r="D61" s="120" t="s">
        <v>2241</v>
      </c>
      <c r="E61" s="120" t="s">
        <v>2242</v>
      </c>
      <c r="F61" s="120" t="s">
        <v>228</v>
      </c>
      <c r="G61" s="122">
        <v>45935.0</v>
      </c>
      <c r="H61" s="120" t="s">
        <v>258</v>
      </c>
      <c r="I61" s="120" t="s">
        <v>227</v>
      </c>
      <c r="J61" s="130">
        <v>45971.0</v>
      </c>
      <c r="K61" s="120" t="s">
        <v>749</v>
      </c>
      <c r="L61" s="120" t="s">
        <v>227</v>
      </c>
      <c r="M61" s="130">
        <v>46004.0</v>
      </c>
      <c r="N61" s="120" t="s">
        <v>782</v>
      </c>
      <c r="O61" s="79"/>
      <c r="P61" s="57"/>
      <c r="Q61" s="89"/>
      <c r="R61" s="10"/>
      <c r="S61" s="10"/>
      <c r="T61" s="10"/>
      <c r="U61" s="10"/>
      <c r="V61" s="10"/>
      <c r="W61" s="10"/>
      <c r="X61" s="10"/>
      <c r="Y61" s="10"/>
      <c r="Z61" s="10"/>
    </row>
    <row r="62" ht="12.75" customHeight="1">
      <c r="A62" s="120" t="s">
        <v>2243</v>
      </c>
      <c r="B62" s="120" t="s">
        <v>2244</v>
      </c>
      <c r="C62" s="120" t="s">
        <v>2245</v>
      </c>
      <c r="D62" s="120" t="s">
        <v>2246</v>
      </c>
      <c r="E62" s="120" t="s">
        <v>2247</v>
      </c>
      <c r="F62" s="120" t="s">
        <v>227</v>
      </c>
      <c r="G62" s="122">
        <v>45935.0</v>
      </c>
      <c r="H62" s="120" t="s">
        <v>258</v>
      </c>
      <c r="I62" s="120" t="s">
        <v>227</v>
      </c>
      <c r="J62" s="130">
        <v>45971.0</v>
      </c>
      <c r="K62" s="120" t="s">
        <v>749</v>
      </c>
      <c r="L62" s="120" t="s">
        <v>227</v>
      </c>
      <c r="M62" s="130">
        <v>46004.0</v>
      </c>
      <c r="N62" s="120" t="s">
        <v>782</v>
      </c>
      <c r="O62" s="79"/>
      <c r="P62" s="57"/>
      <c r="Q62" s="89"/>
      <c r="R62" s="10"/>
      <c r="S62" s="10"/>
      <c r="T62" s="10"/>
      <c r="U62" s="10"/>
      <c r="V62" s="10"/>
      <c r="W62" s="10"/>
      <c r="X62" s="10"/>
      <c r="Y62" s="10"/>
      <c r="Z62" s="10"/>
    </row>
    <row r="63" ht="12.75" customHeight="1">
      <c r="A63" s="120" t="s">
        <v>2248</v>
      </c>
      <c r="B63" s="120" t="s">
        <v>2249</v>
      </c>
      <c r="C63" s="120" t="s">
        <v>2250</v>
      </c>
      <c r="D63" s="120" t="s">
        <v>2251</v>
      </c>
      <c r="E63" s="120" t="s">
        <v>2252</v>
      </c>
      <c r="F63" s="120" t="s">
        <v>227</v>
      </c>
      <c r="G63" s="122">
        <v>45935.0</v>
      </c>
      <c r="H63" s="120" t="s">
        <v>258</v>
      </c>
      <c r="I63" s="120" t="s">
        <v>227</v>
      </c>
      <c r="J63" s="130">
        <v>45971.0</v>
      </c>
      <c r="K63" s="120" t="s">
        <v>749</v>
      </c>
      <c r="L63" s="120" t="s">
        <v>227</v>
      </c>
      <c r="M63" s="130">
        <v>46004.0</v>
      </c>
      <c r="N63" s="120" t="s">
        <v>782</v>
      </c>
      <c r="O63" s="79"/>
      <c r="P63" s="57"/>
      <c r="Q63" s="89"/>
      <c r="R63" s="10"/>
      <c r="S63" s="10"/>
      <c r="T63" s="10"/>
      <c r="U63" s="10"/>
      <c r="V63" s="10"/>
      <c r="W63" s="10"/>
      <c r="X63" s="10"/>
      <c r="Y63" s="10"/>
      <c r="Z63" s="10"/>
    </row>
    <row r="64" ht="12.75" customHeight="1">
      <c r="A64" s="116" t="s">
        <v>2253</v>
      </c>
      <c r="B64" s="117"/>
      <c r="C64" s="117"/>
      <c r="D64" s="117"/>
      <c r="E64" s="117"/>
      <c r="F64" s="117"/>
      <c r="G64" s="117"/>
      <c r="H64" s="117"/>
      <c r="I64" s="117"/>
      <c r="J64" s="117"/>
      <c r="K64" s="117"/>
      <c r="L64" s="117"/>
      <c r="M64" s="117"/>
      <c r="N64" s="117"/>
      <c r="O64" s="117"/>
      <c r="P64" s="57"/>
      <c r="Q64" s="89"/>
      <c r="R64" s="10"/>
      <c r="S64" s="10"/>
      <c r="T64" s="10"/>
      <c r="U64" s="10"/>
      <c r="V64" s="10"/>
      <c r="W64" s="10"/>
      <c r="X64" s="10"/>
      <c r="Y64" s="10"/>
      <c r="Z64" s="10"/>
    </row>
    <row r="65" ht="12.75" customHeight="1">
      <c r="A65" s="120" t="s">
        <v>2254</v>
      </c>
      <c r="B65" s="120" t="s">
        <v>2255</v>
      </c>
      <c r="C65" s="120" t="s">
        <v>2256</v>
      </c>
      <c r="D65" s="120" t="s">
        <v>2257</v>
      </c>
      <c r="E65" s="120" t="s">
        <v>2258</v>
      </c>
      <c r="F65" s="120" t="s">
        <v>227</v>
      </c>
      <c r="G65" s="122">
        <v>45935.0</v>
      </c>
      <c r="H65" s="120" t="s">
        <v>258</v>
      </c>
      <c r="I65" s="120" t="s">
        <v>227</v>
      </c>
      <c r="J65" s="130">
        <v>45971.0</v>
      </c>
      <c r="K65" s="120" t="s">
        <v>749</v>
      </c>
      <c r="L65" s="120" t="s">
        <v>227</v>
      </c>
      <c r="M65" s="130">
        <v>46004.0</v>
      </c>
      <c r="N65" s="120" t="s">
        <v>782</v>
      </c>
      <c r="O65" s="123"/>
      <c r="P65" s="57"/>
      <c r="Q65" s="89"/>
      <c r="R65" s="10"/>
      <c r="S65" s="10"/>
      <c r="T65" s="10"/>
      <c r="U65" s="10"/>
      <c r="V65" s="10"/>
      <c r="W65" s="10"/>
      <c r="X65" s="10"/>
      <c r="Y65" s="10"/>
      <c r="Z65" s="10"/>
    </row>
    <row r="66" ht="12.75" customHeight="1">
      <c r="A66" s="120" t="s">
        <v>2259</v>
      </c>
      <c r="B66" s="120" t="s">
        <v>2260</v>
      </c>
      <c r="C66" s="120" t="s">
        <v>2261</v>
      </c>
      <c r="D66" s="120" t="s">
        <v>2262</v>
      </c>
      <c r="E66" s="120" t="s">
        <v>685</v>
      </c>
      <c r="F66" s="120" t="s">
        <v>227</v>
      </c>
      <c r="G66" s="122">
        <v>45935.0</v>
      </c>
      <c r="H66" s="120" t="s">
        <v>258</v>
      </c>
      <c r="I66" s="120" t="s">
        <v>228</v>
      </c>
      <c r="J66" s="130">
        <v>45971.0</v>
      </c>
      <c r="K66" s="120" t="s">
        <v>749</v>
      </c>
      <c r="L66" s="120" t="s">
        <v>227</v>
      </c>
      <c r="M66" s="130">
        <v>46004.0</v>
      </c>
      <c r="N66" s="120" t="s">
        <v>782</v>
      </c>
      <c r="O66" s="79"/>
      <c r="P66" s="57"/>
      <c r="Q66" s="89"/>
      <c r="R66" s="10"/>
      <c r="S66" s="10"/>
      <c r="T66" s="10"/>
      <c r="U66" s="10"/>
      <c r="V66" s="10"/>
      <c r="W66" s="10"/>
      <c r="X66" s="10"/>
      <c r="Y66" s="10"/>
      <c r="Z66" s="10"/>
    </row>
    <row r="67" ht="12.75" customHeight="1">
      <c r="A67" s="120" t="s">
        <v>2263</v>
      </c>
      <c r="B67" s="120" t="s">
        <v>2264</v>
      </c>
      <c r="C67" s="120" t="s">
        <v>2265</v>
      </c>
      <c r="D67" s="120" t="s">
        <v>2266</v>
      </c>
      <c r="E67" s="120" t="s">
        <v>2267</v>
      </c>
      <c r="F67" s="120" t="s">
        <v>227</v>
      </c>
      <c r="G67" s="122">
        <v>45935.0</v>
      </c>
      <c r="H67" s="120" t="s">
        <v>258</v>
      </c>
      <c r="I67" s="120" t="s">
        <v>227</v>
      </c>
      <c r="J67" s="130">
        <v>45971.0</v>
      </c>
      <c r="K67" s="120" t="s">
        <v>749</v>
      </c>
      <c r="L67" s="120" t="s">
        <v>227</v>
      </c>
      <c r="M67" s="130">
        <v>46004.0</v>
      </c>
      <c r="N67" s="120" t="s">
        <v>782</v>
      </c>
      <c r="O67" s="79"/>
      <c r="P67" s="57"/>
      <c r="Q67" s="89"/>
      <c r="R67" s="10"/>
      <c r="S67" s="10"/>
      <c r="T67" s="10"/>
      <c r="U67" s="10"/>
      <c r="V67" s="10"/>
      <c r="W67" s="10"/>
      <c r="X67" s="10"/>
      <c r="Y67" s="10"/>
      <c r="Z67" s="10"/>
    </row>
    <row r="68" ht="12.75" customHeight="1">
      <c r="A68" s="120" t="s">
        <v>2268</v>
      </c>
      <c r="B68" s="120" t="s">
        <v>2269</v>
      </c>
      <c r="C68" s="120" t="s">
        <v>2270</v>
      </c>
      <c r="D68" s="120" t="s">
        <v>2271</v>
      </c>
      <c r="E68" s="120" t="s">
        <v>2272</v>
      </c>
      <c r="F68" s="120" t="s">
        <v>228</v>
      </c>
      <c r="G68" s="122">
        <v>45935.0</v>
      </c>
      <c r="H68" s="120" t="s">
        <v>258</v>
      </c>
      <c r="I68" s="120" t="s">
        <v>227</v>
      </c>
      <c r="J68" s="130">
        <v>45971.0</v>
      </c>
      <c r="K68" s="120" t="s">
        <v>749</v>
      </c>
      <c r="L68" s="120" t="s">
        <v>227</v>
      </c>
      <c r="M68" s="130">
        <v>46004.0</v>
      </c>
      <c r="N68" s="120" t="s">
        <v>782</v>
      </c>
      <c r="O68" s="79"/>
      <c r="P68" s="57"/>
      <c r="Q68" s="89"/>
      <c r="R68" s="10"/>
      <c r="S68" s="10"/>
      <c r="T68" s="10"/>
      <c r="U68" s="10"/>
      <c r="V68" s="10"/>
      <c r="W68" s="10"/>
      <c r="X68" s="10"/>
      <c r="Y68" s="10"/>
      <c r="Z68" s="10"/>
    </row>
    <row r="69" ht="12.75" customHeight="1">
      <c r="A69" s="116" t="s">
        <v>2273</v>
      </c>
      <c r="B69" s="117"/>
      <c r="C69" s="117"/>
      <c r="D69" s="117"/>
      <c r="E69" s="117"/>
      <c r="F69" s="117"/>
      <c r="G69" s="117"/>
      <c r="H69" s="117"/>
      <c r="I69" s="117"/>
      <c r="J69" s="117"/>
      <c r="K69" s="117"/>
      <c r="L69" s="117"/>
      <c r="M69" s="117"/>
      <c r="N69" s="117"/>
      <c r="O69" s="117"/>
      <c r="P69" s="57"/>
      <c r="Q69" s="89"/>
      <c r="R69" s="10"/>
      <c r="S69" s="10"/>
      <c r="T69" s="10"/>
      <c r="U69" s="10"/>
      <c r="V69" s="10"/>
      <c r="W69" s="10"/>
      <c r="X69" s="10"/>
      <c r="Y69" s="10"/>
      <c r="Z69" s="10"/>
    </row>
    <row r="70" ht="12.75" customHeight="1">
      <c r="A70" s="120" t="s">
        <v>2274</v>
      </c>
      <c r="B70" s="120" t="s">
        <v>2275</v>
      </c>
      <c r="C70" s="120" t="s">
        <v>2276</v>
      </c>
      <c r="D70" s="120" t="s">
        <v>2277</v>
      </c>
      <c r="E70" s="120" t="s">
        <v>2278</v>
      </c>
      <c r="F70" s="120" t="s">
        <v>227</v>
      </c>
      <c r="G70" s="122">
        <v>45935.0</v>
      </c>
      <c r="H70" s="120" t="s">
        <v>258</v>
      </c>
      <c r="I70" s="120" t="s">
        <v>227</v>
      </c>
      <c r="J70" s="130">
        <v>45971.0</v>
      </c>
      <c r="K70" s="120" t="s">
        <v>749</v>
      </c>
      <c r="L70" s="120" t="s">
        <v>227</v>
      </c>
      <c r="M70" s="130">
        <v>46004.0</v>
      </c>
      <c r="N70" s="120" t="s">
        <v>782</v>
      </c>
      <c r="O70" s="123"/>
      <c r="P70" s="57"/>
      <c r="Q70" s="89"/>
      <c r="R70" s="10"/>
      <c r="S70" s="10"/>
      <c r="T70" s="10"/>
      <c r="U70" s="10"/>
      <c r="V70" s="10"/>
      <c r="W70" s="10"/>
      <c r="X70" s="10"/>
      <c r="Y70" s="10"/>
      <c r="Z70" s="10"/>
    </row>
    <row r="71" ht="12.75" customHeight="1">
      <c r="A71" s="120" t="s">
        <v>2279</v>
      </c>
      <c r="B71" s="120" t="s">
        <v>2280</v>
      </c>
      <c r="C71" s="120" t="s">
        <v>2281</v>
      </c>
      <c r="D71" s="120" t="s">
        <v>2282</v>
      </c>
      <c r="E71" s="120" t="s">
        <v>2283</v>
      </c>
      <c r="F71" s="120" t="s">
        <v>227</v>
      </c>
      <c r="G71" s="122">
        <v>45935.0</v>
      </c>
      <c r="H71" s="120" t="s">
        <v>258</v>
      </c>
      <c r="I71" s="120" t="s">
        <v>227</v>
      </c>
      <c r="J71" s="130">
        <v>45971.0</v>
      </c>
      <c r="K71" s="120" t="s">
        <v>749</v>
      </c>
      <c r="L71" s="120" t="s">
        <v>227</v>
      </c>
      <c r="M71" s="130">
        <v>46004.0</v>
      </c>
      <c r="N71" s="120" t="s">
        <v>782</v>
      </c>
      <c r="O71" s="79"/>
      <c r="P71" s="57"/>
      <c r="Q71" s="89"/>
      <c r="R71" s="10"/>
      <c r="S71" s="10"/>
      <c r="T71" s="10"/>
      <c r="U71" s="10"/>
      <c r="V71" s="10"/>
      <c r="W71" s="10"/>
      <c r="X71" s="10"/>
      <c r="Y71" s="10"/>
      <c r="Z71" s="10"/>
    </row>
    <row r="72" ht="12.75" customHeight="1">
      <c r="A72" s="120" t="s">
        <v>2284</v>
      </c>
      <c r="B72" s="120" t="s">
        <v>2285</v>
      </c>
      <c r="C72" s="120" t="s">
        <v>2286</v>
      </c>
      <c r="D72" s="120" t="s">
        <v>2287</v>
      </c>
      <c r="E72" s="120" t="s">
        <v>2288</v>
      </c>
      <c r="F72" s="120" t="s">
        <v>228</v>
      </c>
      <c r="G72" s="122">
        <v>45935.0</v>
      </c>
      <c r="H72" s="120" t="s">
        <v>258</v>
      </c>
      <c r="I72" s="120" t="s">
        <v>228</v>
      </c>
      <c r="J72" s="130">
        <v>45971.0</v>
      </c>
      <c r="K72" s="120" t="s">
        <v>749</v>
      </c>
      <c r="L72" s="120" t="s">
        <v>227</v>
      </c>
      <c r="M72" s="130">
        <v>46004.0</v>
      </c>
      <c r="N72" s="120" t="s">
        <v>782</v>
      </c>
      <c r="O72" s="79"/>
      <c r="P72" s="57"/>
      <c r="Q72" s="89"/>
      <c r="R72" s="10"/>
      <c r="S72" s="10"/>
      <c r="T72" s="10"/>
      <c r="U72" s="10"/>
      <c r="V72" s="10"/>
      <c r="W72" s="10"/>
      <c r="X72" s="10"/>
      <c r="Y72" s="10"/>
      <c r="Z72" s="10"/>
    </row>
    <row r="73" ht="12.75" customHeight="1">
      <c r="A73" s="120" t="s">
        <v>2289</v>
      </c>
      <c r="B73" s="120" t="s">
        <v>2285</v>
      </c>
      <c r="C73" s="120" t="s">
        <v>2290</v>
      </c>
      <c r="D73" s="120" t="s">
        <v>2231</v>
      </c>
      <c r="E73" s="120" t="s">
        <v>2291</v>
      </c>
      <c r="F73" s="120" t="s">
        <v>227</v>
      </c>
      <c r="G73" s="122">
        <v>45935.0</v>
      </c>
      <c r="H73" s="120" t="s">
        <v>258</v>
      </c>
      <c r="I73" s="120" t="s">
        <v>227</v>
      </c>
      <c r="J73" s="130">
        <v>45971.0</v>
      </c>
      <c r="K73" s="120" t="s">
        <v>749</v>
      </c>
      <c r="L73" s="120" t="s">
        <v>227</v>
      </c>
      <c r="M73" s="130">
        <v>46004.0</v>
      </c>
      <c r="N73" s="120" t="s">
        <v>782</v>
      </c>
      <c r="O73" s="79"/>
      <c r="P73" s="57"/>
      <c r="Q73" s="89"/>
      <c r="R73" s="10"/>
      <c r="S73" s="10"/>
      <c r="T73" s="10"/>
      <c r="U73" s="10"/>
      <c r="V73" s="10"/>
      <c r="W73" s="10"/>
      <c r="X73" s="10"/>
      <c r="Y73" s="10"/>
      <c r="Z73" s="10"/>
    </row>
    <row r="74" ht="12.75" customHeight="1">
      <c r="A74" s="84"/>
      <c r="B74" s="84"/>
      <c r="C74" s="84"/>
      <c r="D74" s="84"/>
      <c r="E74" s="84"/>
      <c r="F74" s="84"/>
      <c r="G74" s="84"/>
      <c r="H74" s="84"/>
      <c r="I74" s="84"/>
      <c r="J74" s="84"/>
      <c r="K74" s="84"/>
      <c r="L74" s="84"/>
      <c r="M74" s="84"/>
      <c r="N74" s="84"/>
      <c r="O74" s="84"/>
      <c r="P74" s="10"/>
      <c r="Q74" s="8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8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8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8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8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8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8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8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8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8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8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8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8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8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8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8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8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8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8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8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8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8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8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8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8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8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8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8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8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8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8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8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8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8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8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8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8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8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8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8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8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8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8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8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8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8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8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8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8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8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8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8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8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8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8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8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8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8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8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8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8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8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8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8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8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8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8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8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8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8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8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8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8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8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8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8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8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8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8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8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8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8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8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8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8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8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8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8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8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8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8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8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8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8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8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8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8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8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8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8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8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8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8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8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8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8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8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8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8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8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8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8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8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8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8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8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8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8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8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8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8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8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8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8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8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8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8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8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8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8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8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8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8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8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8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8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8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8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8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8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8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8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8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8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8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8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8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8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8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8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8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8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8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8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8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8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8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8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8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8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8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8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8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8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8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8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8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8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8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8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8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8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8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8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8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8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8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8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8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8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8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8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8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8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8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8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8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8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8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8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8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8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8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8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8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8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8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8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8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8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8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8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8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8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8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8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8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8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8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8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8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8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8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8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8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8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8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8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8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8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8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8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8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8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8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8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8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8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8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8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8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8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8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8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8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8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8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8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8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8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8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8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8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8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8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8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8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8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8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8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8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8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8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8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8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8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8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8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8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8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8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8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8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8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8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8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8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8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8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8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8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8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8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8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8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8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8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8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8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8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8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8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8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8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8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8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8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8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8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8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8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8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8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8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8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8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8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8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8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8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8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8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8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8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8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8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8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8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8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8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8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8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8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8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8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8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8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8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8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8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8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8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8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8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8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8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8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8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8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8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8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8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8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8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8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8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8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8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8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8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8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8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8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8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8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8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8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8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8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8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8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8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8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8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8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8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8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8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8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8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8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8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8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8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8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8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8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8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8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8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8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8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8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8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8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8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8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8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8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8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8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8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8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8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8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8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8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8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8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8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8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8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8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8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8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8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8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8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8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8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8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8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8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8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8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8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8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8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8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8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8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8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8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8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8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8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8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8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8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8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8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8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8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8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8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8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8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8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8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8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8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8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8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8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8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8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8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8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8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8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8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8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8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8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8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8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8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8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8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8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8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8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8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8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8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8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8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8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8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8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8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8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8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8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8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8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8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8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8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8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8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8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8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8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8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8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8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8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8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8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8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8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8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8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8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8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8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8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8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8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8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8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8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8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8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8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8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8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8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8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8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8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8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8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8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8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8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8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8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8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8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8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8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8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8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8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8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8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8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8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8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8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8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8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8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8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8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8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8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8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8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8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8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8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8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8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8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8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8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8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8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8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8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8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8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8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8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8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8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8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8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8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8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8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8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8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8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8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8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8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8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8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8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8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8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8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8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8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8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8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8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8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8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8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8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8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8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8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8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8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8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8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8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8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8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8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8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8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8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8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8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8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8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8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8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8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8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8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8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8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8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8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8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8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8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8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8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8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8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8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8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8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8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8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8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8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8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8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8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8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8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8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8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8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8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8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8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8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8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8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8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8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8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8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8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8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8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8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8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8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8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8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8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8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8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8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8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8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8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8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8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8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8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8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8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8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8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8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8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8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8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8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8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8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8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8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8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8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8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8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8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8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8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8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8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8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8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8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8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8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8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8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8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8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8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8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8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8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8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8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8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8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8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8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8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8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8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8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8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8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8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8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8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8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8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8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8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8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8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8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8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8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8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8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8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8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8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8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8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8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8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8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8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8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8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8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8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8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8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8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8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8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8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8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8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8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8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8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8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8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8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8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8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8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8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8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8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8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8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8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8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8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8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8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8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8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8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8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8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8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8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8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8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8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8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8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8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8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8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8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8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8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8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8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8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8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8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8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8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8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8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8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8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8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8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8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8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8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8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8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8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8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8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8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8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8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8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8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8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8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8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8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8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8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8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8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8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8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89"/>
      <c r="R882" s="10"/>
      <c r="S882" s="10"/>
      <c r="T882" s="10"/>
      <c r="U882" s="10"/>
      <c r="V882" s="10"/>
      <c r="W882" s="10"/>
      <c r="X882" s="10"/>
      <c r="Y882" s="10"/>
      <c r="Z882" s="10"/>
    </row>
  </sheetData>
  <mergeCells count="3">
    <mergeCell ref="B2:E2"/>
    <mergeCell ref="B3:E3"/>
    <mergeCell ref="B4:E4"/>
  </mergeCells>
  <dataValidations>
    <dataValidation type="list" allowBlank="1" showErrorMessage="1" sqref="G2:G3 J2:J3 M2:M3 G9 J9 M9 F12:F73 I12:I73 L12:L73">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9.13" outlineLevel="1"/>
    <col customWidth="1" min="9" max="9" width="9.38"/>
    <col customWidth="1" min="10" max="10" width="10.63" outlineLevel="1"/>
    <col customWidth="1" min="11" max="11" width="13.25" outlineLevel="1"/>
    <col customWidth="1" min="12" max="12" width="9.38"/>
    <col customWidth="1" min="13" max="13" width="10.63" outlineLevel="1"/>
    <col customWidth="1" min="14" max="14" width="10.88"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89"/>
      <c r="R1" s="10"/>
      <c r="S1" s="10"/>
      <c r="T1" s="10"/>
      <c r="U1" s="10"/>
      <c r="V1" s="10"/>
      <c r="W1" s="10"/>
      <c r="X1" s="10"/>
      <c r="Y1" s="10"/>
      <c r="Z1" s="10"/>
    </row>
    <row r="2" ht="15.0" customHeight="1">
      <c r="A2" s="90" t="s">
        <v>236</v>
      </c>
      <c r="B2" s="91" t="s">
        <v>169</v>
      </c>
      <c r="C2" s="92"/>
      <c r="D2" s="92"/>
      <c r="E2" s="93"/>
      <c r="F2" s="94"/>
      <c r="G2" s="95"/>
      <c r="H2" s="40"/>
      <c r="I2" s="94"/>
      <c r="J2" s="95"/>
      <c r="K2" s="40"/>
      <c r="L2" s="94"/>
      <c r="M2" s="95"/>
      <c r="N2" s="40"/>
      <c r="O2" s="40"/>
      <c r="P2" s="40"/>
      <c r="Q2" s="96"/>
      <c r="R2" s="97" t="s">
        <v>227</v>
      </c>
      <c r="S2" s="97"/>
      <c r="T2" s="97"/>
      <c r="U2" s="97"/>
      <c r="V2" s="97"/>
      <c r="W2" s="97"/>
      <c r="X2" s="97"/>
      <c r="Y2" s="97"/>
      <c r="Z2" s="97"/>
    </row>
    <row r="3" ht="12.75" customHeight="1">
      <c r="A3" s="98" t="s">
        <v>237</v>
      </c>
      <c r="B3" s="99" t="s">
        <v>2292</v>
      </c>
      <c r="C3" s="5"/>
      <c r="D3" s="5"/>
      <c r="E3" s="100"/>
      <c r="F3" s="94"/>
      <c r="G3" s="95"/>
      <c r="H3" s="40"/>
      <c r="I3" s="94"/>
      <c r="J3" s="95"/>
      <c r="K3" s="40"/>
      <c r="L3" s="94"/>
      <c r="M3" s="95"/>
      <c r="N3" s="40"/>
      <c r="O3" s="40"/>
      <c r="P3" s="40"/>
      <c r="Q3" s="96"/>
      <c r="R3" s="97" t="s">
        <v>228</v>
      </c>
      <c r="S3" s="97"/>
      <c r="T3" s="97"/>
      <c r="U3" s="97"/>
      <c r="V3" s="97"/>
      <c r="W3" s="97"/>
      <c r="X3" s="97"/>
      <c r="Y3" s="97"/>
      <c r="Z3" s="97"/>
    </row>
    <row r="4" ht="18.0" customHeight="1">
      <c r="A4" s="98" t="s">
        <v>239</v>
      </c>
      <c r="B4" s="127">
        <f>COUNTA(A12:A909)-7</f>
        <v>38</v>
      </c>
      <c r="C4" s="5"/>
      <c r="D4" s="5"/>
      <c r="E4" s="100"/>
      <c r="F4" s="94"/>
      <c r="G4" s="95"/>
      <c r="H4" s="40"/>
      <c r="I4" s="94"/>
      <c r="J4" s="95"/>
      <c r="K4" s="40"/>
      <c r="L4" s="94"/>
      <c r="M4" s="95"/>
      <c r="N4" s="40"/>
      <c r="O4" s="40"/>
      <c r="P4" s="40"/>
      <c r="Q4" s="96"/>
      <c r="R4" s="97" t="s">
        <v>229</v>
      </c>
      <c r="S4" s="97"/>
      <c r="T4" s="97"/>
      <c r="U4" s="97"/>
      <c r="V4" s="97"/>
      <c r="W4" s="97"/>
      <c r="X4" s="97"/>
      <c r="Y4" s="97"/>
      <c r="Z4" s="97"/>
    </row>
    <row r="5" ht="19.5" customHeight="1">
      <c r="A5" s="101" t="s">
        <v>240</v>
      </c>
      <c r="B5" s="102" t="s">
        <v>227</v>
      </c>
      <c r="C5" s="102" t="s">
        <v>228</v>
      </c>
      <c r="D5" s="102" t="s">
        <v>229</v>
      </c>
      <c r="E5" s="103" t="s">
        <v>230</v>
      </c>
      <c r="F5" s="104"/>
      <c r="G5" s="104"/>
      <c r="H5" s="105"/>
      <c r="I5" s="104"/>
      <c r="J5" s="104"/>
      <c r="K5" s="105"/>
      <c r="L5" s="104"/>
      <c r="M5" s="104"/>
      <c r="N5" s="105"/>
      <c r="O5" s="105"/>
      <c r="P5" s="105"/>
      <c r="Q5" s="106"/>
      <c r="R5" s="97" t="s">
        <v>230</v>
      </c>
      <c r="S5" s="97"/>
      <c r="T5" s="97"/>
      <c r="U5" s="97"/>
      <c r="V5" s="97"/>
      <c r="W5" s="97"/>
      <c r="X5" s="97"/>
      <c r="Y5" s="97"/>
      <c r="Z5" s="97"/>
    </row>
    <row r="6" ht="15.0" customHeight="1">
      <c r="A6" s="101" t="s">
        <v>241</v>
      </c>
      <c r="B6" s="107">
        <f t="shared" ref="B6:E6" si="1">COUNTIF($F10:$F907,B5)</f>
        <v>32</v>
      </c>
      <c r="C6" s="107">
        <f t="shared" si="1"/>
        <v>6</v>
      </c>
      <c r="D6" s="107">
        <f t="shared" si="1"/>
        <v>0</v>
      </c>
      <c r="E6" s="108">
        <f t="shared" si="1"/>
        <v>0</v>
      </c>
      <c r="F6" s="109"/>
      <c r="G6" s="109"/>
      <c r="H6" s="105"/>
      <c r="I6" s="109"/>
      <c r="J6" s="109"/>
      <c r="K6" s="105"/>
      <c r="L6" s="109"/>
      <c r="M6" s="109"/>
      <c r="N6" s="105"/>
      <c r="O6" s="105"/>
      <c r="P6" s="105"/>
      <c r="Q6" s="106"/>
      <c r="R6" s="97"/>
      <c r="S6" s="97"/>
      <c r="T6" s="97"/>
      <c r="U6" s="97"/>
      <c r="V6" s="97"/>
      <c r="W6" s="97"/>
      <c r="X6" s="97"/>
      <c r="Y6" s="97"/>
      <c r="Z6" s="97"/>
    </row>
    <row r="7" ht="15.0" customHeight="1">
      <c r="A7" s="101" t="s">
        <v>242</v>
      </c>
      <c r="B7" s="107">
        <f>COUNTIF($I10:$I895,B5)</f>
        <v>35</v>
      </c>
      <c r="C7" s="107">
        <f>COUNTIF($I10:$FI895,C5)</f>
        <v>3</v>
      </c>
      <c r="D7" s="107">
        <f t="shared" ref="D7:E7" si="2">COUNTIF($F10:$F907,D5)</f>
        <v>0</v>
      </c>
      <c r="E7" s="108">
        <f t="shared" si="2"/>
        <v>0</v>
      </c>
      <c r="F7" s="109"/>
      <c r="G7" s="109"/>
      <c r="H7" s="105"/>
      <c r="I7" s="109"/>
      <c r="J7" s="109"/>
      <c r="K7" s="105"/>
      <c r="L7" s="109"/>
      <c r="M7" s="109"/>
      <c r="N7" s="105"/>
      <c r="O7" s="105"/>
      <c r="P7" s="105"/>
      <c r="Q7" s="106"/>
      <c r="R7" s="97"/>
      <c r="S7" s="97"/>
      <c r="T7" s="97"/>
      <c r="U7" s="97"/>
      <c r="V7" s="97"/>
      <c r="W7" s="97"/>
      <c r="X7" s="97"/>
      <c r="Y7" s="97"/>
      <c r="Z7" s="97"/>
    </row>
    <row r="8" ht="15.0" customHeight="1">
      <c r="A8" s="110" t="s">
        <v>243</v>
      </c>
      <c r="B8" s="111">
        <f t="shared" ref="B8:C8" si="3">COUNTIF($L10:$L895,B5)</f>
        <v>38</v>
      </c>
      <c r="C8" s="111">
        <f t="shared" si="3"/>
        <v>0</v>
      </c>
      <c r="D8" s="111">
        <f t="shared" ref="D8:E8" si="4">COUNTIF($F10:$F907,D5)</f>
        <v>0</v>
      </c>
      <c r="E8" s="112">
        <f t="shared" si="4"/>
        <v>0</v>
      </c>
      <c r="F8" s="109"/>
      <c r="G8" s="109"/>
      <c r="H8" s="105"/>
      <c r="I8" s="109"/>
      <c r="J8" s="109"/>
      <c r="K8" s="105"/>
      <c r="L8" s="109"/>
      <c r="M8" s="109"/>
      <c r="N8" s="105"/>
      <c r="O8" s="105"/>
      <c r="P8" s="105"/>
      <c r="Q8" s="106"/>
      <c r="R8" s="97"/>
      <c r="S8" s="97"/>
      <c r="T8" s="97"/>
      <c r="U8" s="97"/>
      <c r="V8" s="97"/>
      <c r="W8" s="97"/>
      <c r="X8" s="97"/>
      <c r="Y8" s="97"/>
      <c r="Z8" s="97"/>
    </row>
    <row r="9" ht="15.0" customHeight="1">
      <c r="A9" s="105"/>
      <c r="B9" s="105"/>
      <c r="C9" s="105"/>
      <c r="D9" s="105"/>
      <c r="E9" s="105"/>
      <c r="F9" s="88"/>
      <c r="G9" s="105"/>
      <c r="H9" s="105"/>
      <c r="I9" s="88"/>
      <c r="J9" s="105"/>
      <c r="K9" s="105"/>
      <c r="L9" s="88"/>
      <c r="M9" s="105"/>
      <c r="N9" s="105"/>
      <c r="O9" s="105"/>
      <c r="P9" s="105"/>
      <c r="Q9" s="106"/>
      <c r="R9" s="97"/>
      <c r="S9" s="97"/>
      <c r="T9" s="97"/>
      <c r="U9" s="97"/>
      <c r="V9" s="97"/>
      <c r="W9" s="97"/>
      <c r="X9" s="97"/>
      <c r="Y9" s="97"/>
      <c r="Z9" s="97"/>
    </row>
    <row r="10" ht="25.5" customHeight="1">
      <c r="A10" s="114" t="s">
        <v>244</v>
      </c>
      <c r="B10" s="114" t="s">
        <v>245</v>
      </c>
      <c r="C10" s="114" t="s">
        <v>246</v>
      </c>
      <c r="D10" s="114" t="s">
        <v>247</v>
      </c>
      <c r="E10" s="114" t="s">
        <v>248</v>
      </c>
      <c r="F10" s="114" t="s">
        <v>241</v>
      </c>
      <c r="G10" s="114" t="s">
        <v>249</v>
      </c>
      <c r="H10" s="114" t="s">
        <v>250</v>
      </c>
      <c r="I10" s="114" t="s">
        <v>242</v>
      </c>
      <c r="J10" s="114" t="s">
        <v>249</v>
      </c>
      <c r="K10" s="114" t="s">
        <v>250</v>
      </c>
      <c r="L10" s="114" t="s">
        <v>243</v>
      </c>
      <c r="M10" s="114" t="s">
        <v>249</v>
      </c>
      <c r="N10" s="114" t="s">
        <v>250</v>
      </c>
      <c r="O10" s="114" t="s">
        <v>251</v>
      </c>
      <c r="P10" s="97"/>
      <c r="Q10" s="115"/>
      <c r="R10" s="97"/>
      <c r="S10" s="97"/>
      <c r="T10" s="97"/>
      <c r="U10" s="97"/>
      <c r="V10" s="97"/>
      <c r="W10" s="97"/>
      <c r="X10" s="97"/>
      <c r="Y10" s="97"/>
      <c r="Z10" s="97"/>
    </row>
    <row r="11" ht="15.75" customHeight="1">
      <c r="A11" s="116" t="s">
        <v>2293</v>
      </c>
      <c r="B11" s="117"/>
      <c r="C11" s="117"/>
      <c r="D11" s="117"/>
      <c r="E11" s="117"/>
      <c r="F11" s="117"/>
      <c r="G11" s="117"/>
      <c r="H11" s="117"/>
      <c r="I11" s="117"/>
      <c r="J11" s="117"/>
      <c r="K11" s="117"/>
      <c r="L11" s="117"/>
      <c r="M11" s="117"/>
      <c r="N11" s="117"/>
      <c r="O11" s="117"/>
      <c r="P11" s="118"/>
      <c r="Q11" s="119"/>
      <c r="R11" s="97"/>
      <c r="S11" s="97"/>
      <c r="T11" s="97"/>
      <c r="U11" s="97"/>
      <c r="V11" s="97"/>
      <c r="W11" s="97"/>
      <c r="X11" s="97"/>
      <c r="Y11" s="97"/>
      <c r="Z11" s="97"/>
    </row>
    <row r="12" ht="120.75" customHeight="1" outlineLevel="1">
      <c r="A12" s="120" t="s">
        <v>2294</v>
      </c>
      <c r="B12" s="128" t="s">
        <v>2295</v>
      </c>
      <c r="C12" s="129" t="s">
        <v>2296</v>
      </c>
      <c r="D12" s="129" t="s">
        <v>2297</v>
      </c>
      <c r="E12" s="129" t="s">
        <v>2298</v>
      </c>
      <c r="F12" s="120" t="s">
        <v>228</v>
      </c>
      <c r="G12" s="122">
        <v>45935.0</v>
      </c>
      <c r="H12" s="120" t="s">
        <v>782</v>
      </c>
      <c r="I12" s="120" t="s">
        <v>227</v>
      </c>
      <c r="J12" s="130">
        <v>45971.0</v>
      </c>
      <c r="K12" s="120" t="s">
        <v>782</v>
      </c>
      <c r="L12" s="120" t="s">
        <v>227</v>
      </c>
      <c r="M12" s="130">
        <v>46004.0</v>
      </c>
      <c r="N12" s="120" t="s">
        <v>259</v>
      </c>
      <c r="O12" s="123"/>
      <c r="P12" s="131"/>
      <c r="Q12" s="124"/>
      <c r="R12" s="132"/>
      <c r="S12" s="132"/>
      <c r="T12" s="132"/>
      <c r="U12" s="132"/>
      <c r="V12" s="132"/>
      <c r="W12" s="132"/>
      <c r="X12" s="132"/>
      <c r="Y12" s="132"/>
      <c r="Z12" s="132"/>
    </row>
    <row r="13" ht="12.75" customHeight="1" outlineLevel="1">
      <c r="A13" s="120" t="s">
        <v>2299</v>
      </c>
      <c r="B13" s="120" t="s">
        <v>2300</v>
      </c>
      <c r="C13" s="120" t="s">
        <v>2301</v>
      </c>
      <c r="D13" s="121" t="s">
        <v>2302</v>
      </c>
      <c r="E13" s="121" t="s">
        <v>2303</v>
      </c>
      <c r="F13" s="120" t="s">
        <v>227</v>
      </c>
      <c r="G13" s="122">
        <v>45935.0</v>
      </c>
      <c r="H13" s="120" t="s">
        <v>782</v>
      </c>
      <c r="I13" s="120" t="s">
        <v>227</v>
      </c>
      <c r="J13" s="130">
        <v>45971.0</v>
      </c>
      <c r="K13" s="120" t="s">
        <v>782</v>
      </c>
      <c r="L13" s="120" t="s">
        <v>227</v>
      </c>
      <c r="M13" s="130">
        <v>46004.0</v>
      </c>
      <c r="N13" s="120" t="s">
        <v>259</v>
      </c>
      <c r="O13" s="123"/>
      <c r="P13" s="57"/>
      <c r="Q13" s="124"/>
      <c r="R13" s="10"/>
      <c r="S13" s="10"/>
      <c r="T13" s="10"/>
      <c r="U13" s="10"/>
      <c r="V13" s="10"/>
      <c r="W13" s="10"/>
      <c r="X13" s="10"/>
      <c r="Y13" s="10"/>
      <c r="Z13" s="10"/>
    </row>
    <row r="14" ht="12.75" customHeight="1" outlineLevel="1">
      <c r="A14" s="120" t="s">
        <v>2304</v>
      </c>
      <c r="B14" s="120" t="s">
        <v>2305</v>
      </c>
      <c r="C14" s="120" t="s">
        <v>2306</v>
      </c>
      <c r="D14" s="121" t="s">
        <v>2307</v>
      </c>
      <c r="E14" s="121" t="s">
        <v>685</v>
      </c>
      <c r="F14" s="120" t="s">
        <v>227</v>
      </c>
      <c r="G14" s="122">
        <v>45935.0</v>
      </c>
      <c r="H14" s="120" t="s">
        <v>782</v>
      </c>
      <c r="I14" s="120" t="s">
        <v>227</v>
      </c>
      <c r="J14" s="130">
        <v>45971.0</v>
      </c>
      <c r="K14" s="120" t="s">
        <v>782</v>
      </c>
      <c r="L14" s="120" t="s">
        <v>227</v>
      </c>
      <c r="M14" s="130">
        <v>46004.0</v>
      </c>
      <c r="N14" s="120" t="s">
        <v>259</v>
      </c>
      <c r="O14" s="123"/>
      <c r="P14" s="57"/>
      <c r="Q14" s="124"/>
      <c r="R14" s="10"/>
      <c r="S14" s="10"/>
      <c r="T14" s="10"/>
      <c r="U14" s="10"/>
      <c r="V14" s="10"/>
      <c r="W14" s="10"/>
      <c r="X14" s="10"/>
      <c r="Y14" s="10"/>
      <c r="Z14" s="10"/>
    </row>
    <row r="15" ht="12.75" customHeight="1" outlineLevel="1">
      <c r="A15" s="120" t="s">
        <v>2308</v>
      </c>
      <c r="B15" s="120" t="s">
        <v>2309</v>
      </c>
      <c r="C15" s="120" t="s">
        <v>2310</v>
      </c>
      <c r="D15" s="121" t="s">
        <v>2311</v>
      </c>
      <c r="E15" s="121" t="s">
        <v>685</v>
      </c>
      <c r="F15" s="120" t="s">
        <v>227</v>
      </c>
      <c r="G15" s="122">
        <v>45935.0</v>
      </c>
      <c r="H15" s="120" t="s">
        <v>782</v>
      </c>
      <c r="I15" s="120" t="s">
        <v>227</v>
      </c>
      <c r="J15" s="130">
        <v>45971.0</v>
      </c>
      <c r="K15" s="120" t="s">
        <v>782</v>
      </c>
      <c r="L15" s="120" t="s">
        <v>227</v>
      </c>
      <c r="M15" s="130">
        <v>46004.0</v>
      </c>
      <c r="N15" s="120" t="s">
        <v>259</v>
      </c>
      <c r="O15" s="123"/>
      <c r="P15" s="57"/>
      <c r="Q15" s="124"/>
      <c r="R15" s="10"/>
      <c r="S15" s="10"/>
      <c r="T15" s="10"/>
      <c r="U15" s="10"/>
      <c r="V15" s="10"/>
      <c r="W15" s="10"/>
      <c r="X15" s="10"/>
      <c r="Y15" s="10"/>
      <c r="Z15" s="10"/>
    </row>
    <row r="16" ht="12.75" customHeight="1" outlineLevel="1">
      <c r="A16" s="120" t="s">
        <v>2312</v>
      </c>
      <c r="B16" s="120" t="s">
        <v>2313</v>
      </c>
      <c r="C16" s="120" t="s">
        <v>2314</v>
      </c>
      <c r="D16" s="121" t="s">
        <v>2315</v>
      </c>
      <c r="E16" s="121" t="s">
        <v>2316</v>
      </c>
      <c r="F16" s="120" t="s">
        <v>227</v>
      </c>
      <c r="G16" s="122">
        <v>45935.0</v>
      </c>
      <c r="H16" s="120" t="s">
        <v>782</v>
      </c>
      <c r="I16" s="120" t="s">
        <v>227</v>
      </c>
      <c r="J16" s="130">
        <v>45971.0</v>
      </c>
      <c r="K16" s="120" t="s">
        <v>782</v>
      </c>
      <c r="L16" s="120" t="s">
        <v>227</v>
      </c>
      <c r="M16" s="130">
        <v>46004.0</v>
      </c>
      <c r="N16" s="120" t="s">
        <v>259</v>
      </c>
      <c r="O16" s="123"/>
      <c r="P16" s="57"/>
      <c r="Q16" s="124"/>
      <c r="R16" s="10"/>
      <c r="S16" s="10"/>
      <c r="T16" s="10"/>
      <c r="U16" s="10"/>
      <c r="V16" s="10"/>
      <c r="W16" s="10"/>
      <c r="X16" s="10"/>
      <c r="Y16" s="10"/>
      <c r="Z16" s="10"/>
    </row>
    <row r="17" ht="15.75" customHeight="1">
      <c r="A17" s="116" t="s">
        <v>2317</v>
      </c>
      <c r="B17" s="117"/>
      <c r="C17" s="117"/>
      <c r="D17" s="117"/>
      <c r="E17" s="117"/>
      <c r="F17" s="117"/>
      <c r="G17" s="117"/>
      <c r="H17" s="117"/>
      <c r="I17" s="117"/>
      <c r="J17" s="117"/>
      <c r="K17" s="117"/>
      <c r="L17" s="117"/>
      <c r="M17" s="117"/>
      <c r="N17" s="117"/>
      <c r="O17" s="117"/>
      <c r="P17" s="118"/>
      <c r="Q17" s="119"/>
      <c r="R17" s="97"/>
      <c r="S17" s="97"/>
      <c r="T17" s="97"/>
      <c r="U17" s="97"/>
      <c r="V17" s="97"/>
      <c r="W17" s="97"/>
      <c r="X17" s="97"/>
      <c r="Y17" s="97"/>
      <c r="Z17" s="97"/>
    </row>
    <row r="18" ht="12.75" customHeight="1" outlineLevel="1">
      <c r="A18" s="120" t="s">
        <v>2318</v>
      </c>
      <c r="B18" s="120" t="s">
        <v>2319</v>
      </c>
      <c r="C18" s="120" t="s">
        <v>2320</v>
      </c>
      <c r="D18" s="120" t="s">
        <v>2321</v>
      </c>
      <c r="E18" s="120" t="s">
        <v>2322</v>
      </c>
      <c r="F18" s="120" t="s">
        <v>227</v>
      </c>
      <c r="G18" s="122">
        <v>45935.0</v>
      </c>
      <c r="H18" s="120" t="s">
        <v>782</v>
      </c>
      <c r="I18" s="120" t="s">
        <v>227</v>
      </c>
      <c r="J18" s="130">
        <v>45971.0</v>
      </c>
      <c r="K18" s="120" t="s">
        <v>782</v>
      </c>
      <c r="L18" s="120" t="s">
        <v>227</v>
      </c>
      <c r="M18" s="130">
        <v>46004.0</v>
      </c>
      <c r="N18" s="120" t="s">
        <v>259</v>
      </c>
      <c r="O18" s="123"/>
      <c r="P18" s="57"/>
      <c r="Q18" s="124"/>
      <c r="R18" s="10"/>
      <c r="S18" s="10"/>
      <c r="T18" s="10"/>
      <c r="U18" s="10"/>
      <c r="V18" s="10"/>
      <c r="W18" s="10"/>
      <c r="X18" s="10"/>
      <c r="Y18" s="10"/>
      <c r="Z18" s="10"/>
    </row>
    <row r="19" ht="12.75" customHeight="1" outlineLevel="1">
      <c r="A19" s="120" t="s">
        <v>2323</v>
      </c>
      <c r="B19" s="120" t="s">
        <v>2324</v>
      </c>
      <c r="C19" s="120" t="s">
        <v>2325</v>
      </c>
      <c r="D19" s="120" t="s">
        <v>2326</v>
      </c>
      <c r="E19" s="120" t="s">
        <v>2327</v>
      </c>
      <c r="F19" s="120" t="s">
        <v>228</v>
      </c>
      <c r="G19" s="122">
        <v>45935.0</v>
      </c>
      <c r="H19" s="120" t="s">
        <v>782</v>
      </c>
      <c r="I19" s="120" t="s">
        <v>227</v>
      </c>
      <c r="J19" s="130">
        <v>45971.0</v>
      </c>
      <c r="K19" s="120" t="s">
        <v>782</v>
      </c>
      <c r="L19" s="120" t="s">
        <v>227</v>
      </c>
      <c r="M19" s="130">
        <v>46004.0</v>
      </c>
      <c r="N19" s="120" t="s">
        <v>259</v>
      </c>
      <c r="O19" s="79"/>
      <c r="P19" s="57"/>
      <c r="Q19" s="89"/>
      <c r="R19" s="10"/>
      <c r="S19" s="10"/>
      <c r="T19" s="10"/>
      <c r="U19" s="10"/>
      <c r="V19" s="10"/>
      <c r="W19" s="10"/>
      <c r="X19" s="10"/>
      <c r="Y19" s="10"/>
      <c r="Z19" s="10"/>
    </row>
    <row r="20" ht="12.75" customHeight="1" outlineLevel="1">
      <c r="A20" s="120" t="s">
        <v>2328</v>
      </c>
      <c r="B20" s="120" t="s">
        <v>2329</v>
      </c>
      <c r="C20" s="120" t="s">
        <v>2330</v>
      </c>
      <c r="D20" s="120" t="s">
        <v>2331</v>
      </c>
      <c r="E20" s="120" t="s">
        <v>2332</v>
      </c>
      <c r="F20" s="120" t="s">
        <v>227</v>
      </c>
      <c r="G20" s="122">
        <v>45935.0</v>
      </c>
      <c r="H20" s="120" t="s">
        <v>782</v>
      </c>
      <c r="I20" s="120" t="s">
        <v>227</v>
      </c>
      <c r="J20" s="130">
        <v>45971.0</v>
      </c>
      <c r="K20" s="120" t="s">
        <v>782</v>
      </c>
      <c r="L20" s="120" t="s">
        <v>227</v>
      </c>
      <c r="M20" s="130">
        <v>46004.0</v>
      </c>
      <c r="N20" s="120" t="s">
        <v>259</v>
      </c>
      <c r="O20" s="79"/>
      <c r="P20" s="57"/>
      <c r="Q20" s="89"/>
      <c r="R20" s="10"/>
      <c r="S20" s="10"/>
      <c r="T20" s="10"/>
      <c r="U20" s="10"/>
      <c r="V20" s="10"/>
      <c r="W20" s="10"/>
      <c r="X20" s="10"/>
      <c r="Y20" s="10"/>
      <c r="Z20" s="10"/>
    </row>
    <row r="21" ht="12.75" customHeight="1" outlineLevel="1">
      <c r="A21" s="120" t="s">
        <v>2333</v>
      </c>
      <c r="B21" s="120" t="s">
        <v>2334</v>
      </c>
      <c r="C21" s="120" t="s">
        <v>2335</v>
      </c>
      <c r="D21" s="120" t="s">
        <v>2336</v>
      </c>
      <c r="E21" s="120" t="s">
        <v>2087</v>
      </c>
      <c r="F21" s="120" t="s">
        <v>227</v>
      </c>
      <c r="G21" s="122">
        <v>45935.0</v>
      </c>
      <c r="H21" s="120" t="s">
        <v>782</v>
      </c>
      <c r="I21" s="120" t="s">
        <v>227</v>
      </c>
      <c r="J21" s="130">
        <v>45971.0</v>
      </c>
      <c r="K21" s="120" t="s">
        <v>782</v>
      </c>
      <c r="L21" s="120" t="s">
        <v>227</v>
      </c>
      <c r="M21" s="130">
        <v>46004.0</v>
      </c>
      <c r="N21" s="120" t="s">
        <v>259</v>
      </c>
      <c r="O21" s="79"/>
      <c r="P21" s="57"/>
      <c r="Q21" s="89"/>
      <c r="R21" s="10"/>
      <c r="S21" s="10"/>
      <c r="T21" s="10"/>
      <c r="U21" s="10"/>
      <c r="V21" s="10"/>
      <c r="W21" s="10"/>
      <c r="X21" s="10"/>
      <c r="Y21" s="10"/>
      <c r="Z21" s="10"/>
    </row>
    <row r="22" ht="12.75" customHeight="1" outlineLevel="1">
      <c r="A22" s="120" t="s">
        <v>2337</v>
      </c>
      <c r="B22" s="120" t="s">
        <v>2338</v>
      </c>
      <c r="C22" s="120" t="s">
        <v>2339</v>
      </c>
      <c r="D22" s="120" t="s">
        <v>2340</v>
      </c>
      <c r="E22" s="120" t="s">
        <v>2341</v>
      </c>
      <c r="F22" s="120" t="s">
        <v>227</v>
      </c>
      <c r="G22" s="122">
        <v>45935.0</v>
      </c>
      <c r="H22" s="120" t="s">
        <v>782</v>
      </c>
      <c r="I22" s="120" t="s">
        <v>227</v>
      </c>
      <c r="J22" s="130">
        <v>45971.0</v>
      </c>
      <c r="K22" s="120" t="s">
        <v>782</v>
      </c>
      <c r="L22" s="120" t="s">
        <v>227</v>
      </c>
      <c r="M22" s="130">
        <v>46004.0</v>
      </c>
      <c r="N22" s="120" t="s">
        <v>259</v>
      </c>
      <c r="O22" s="79"/>
      <c r="P22" s="57"/>
      <c r="Q22" s="89"/>
      <c r="R22" s="10"/>
      <c r="S22" s="10"/>
      <c r="T22" s="10"/>
      <c r="U22" s="10"/>
      <c r="V22" s="10"/>
      <c r="W22" s="10"/>
      <c r="X22" s="10"/>
      <c r="Y22" s="10"/>
      <c r="Z22" s="10"/>
    </row>
    <row r="23" ht="12.75" customHeight="1">
      <c r="A23" s="116" t="s">
        <v>2342</v>
      </c>
      <c r="B23" s="117"/>
      <c r="C23" s="117"/>
      <c r="D23" s="117"/>
      <c r="E23" s="117"/>
      <c r="F23" s="117"/>
      <c r="G23" s="117"/>
      <c r="H23" s="117"/>
      <c r="I23" s="117"/>
      <c r="J23" s="117"/>
      <c r="K23" s="117"/>
      <c r="L23" s="117"/>
      <c r="M23" s="117"/>
      <c r="N23" s="117"/>
      <c r="O23" s="117"/>
      <c r="P23" s="57"/>
      <c r="Q23" s="89"/>
      <c r="R23" s="10"/>
      <c r="S23" s="10"/>
      <c r="T23" s="10"/>
      <c r="U23" s="10"/>
      <c r="V23" s="10"/>
      <c r="W23" s="10"/>
      <c r="X23" s="10"/>
      <c r="Y23" s="10"/>
      <c r="Z23" s="10"/>
    </row>
    <row r="24" ht="12.75" customHeight="1">
      <c r="A24" s="120" t="s">
        <v>2343</v>
      </c>
      <c r="B24" s="120" t="s">
        <v>2344</v>
      </c>
      <c r="C24" s="120" t="s">
        <v>2345</v>
      </c>
      <c r="D24" s="120" t="s">
        <v>2346</v>
      </c>
      <c r="E24" s="120" t="s">
        <v>2347</v>
      </c>
      <c r="F24" s="120" t="s">
        <v>227</v>
      </c>
      <c r="G24" s="122">
        <v>45935.0</v>
      </c>
      <c r="H24" s="120" t="s">
        <v>782</v>
      </c>
      <c r="I24" s="120" t="s">
        <v>227</v>
      </c>
      <c r="J24" s="130">
        <v>45971.0</v>
      </c>
      <c r="K24" s="120" t="s">
        <v>782</v>
      </c>
      <c r="L24" s="120" t="s">
        <v>227</v>
      </c>
      <c r="M24" s="130">
        <v>46004.0</v>
      </c>
      <c r="N24" s="120" t="s">
        <v>259</v>
      </c>
      <c r="O24" s="123"/>
      <c r="P24" s="57"/>
      <c r="Q24" s="89"/>
      <c r="R24" s="10"/>
      <c r="S24" s="10"/>
      <c r="T24" s="10"/>
      <c r="U24" s="10"/>
      <c r="V24" s="10"/>
      <c r="W24" s="10"/>
      <c r="X24" s="10"/>
      <c r="Y24" s="10"/>
      <c r="Z24" s="10"/>
    </row>
    <row r="25" ht="12.75" customHeight="1">
      <c r="A25" s="120" t="s">
        <v>2348</v>
      </c>
      <c r="B25" s="120" t="s">
        <v>2349</v>
      </c>
      <c r="C25" s="120" t="s">
        <v>2350</v>
      </c>
      <c r="D25" s="120" t="s">
        <v>2351</v>
      </c>
      <c r="E25" s="120" t="s">
        <v>2352</v>
      </c>
      <c r="F25" s="120" t="s">
        <v>227</v>
      </c>
      <c r="G25" s="122">
        <v>45935.0</v>
      </c>
      <c r="H25" s="120" t="s">
        <v>782</v>
      </c>
      <c r="I25" s="120" t="s">
        <v>227</v>
      </c>
      <c r="J25" s="130">
        <v>45971.0</v>
      </c>
      <c r="K25" s="120" t="s">
        <v>782</v>
      </c>
      <c r="L25" s="120" t="s">
        <v>227</v>
      </c>
      <c r="M25" s="130">
        <v>46004.0</v>
      </c>
      <c r="N25" s="120" t="s">
        <v>259</v>
      </c>
      <c r="O25" s="79"/>
      <c r="P25" s="57"/>
      <c r="Q25" s="89"/>
      <c r="R25" s="10"/>
      <c r="S25" s="10"/>
      <c r="T25" s="10"/>
      <c r="U25" s="10"/>
      <c r="V25" s="10"/>
      <c r="W25" s="10"/>
      <c r="X25" s="10"/>
      <c r="Y25" s="10"/>
      <c r="Z25" s="10"/>
    </row>
    <row r="26" ht="12.75" customHeight="1">
      <c r="A26" s="120" t="s">
        <v>2353</v>
      </c>
      <c r="B26" s="120" t="s">
        <v>2354</v>
      </c>
      <c r="C26" s="120" t="s">
        <v>2355</v>
      </c>
      <c r="D26" s="120" t="s">
        <v>2356</v>
      </c>
      <c r="E26" s="120" t="s">
        <v>2357</v>
      </c>
      <c r="F26" s="120" t="s">
        <v>227</v>
      </c>
      <c r="G26" s="122">
        <v>45935.0</v>
      </c>
      <c r="H26" s="120" t="s">
        <v>782</v>
      </c>
      <c r="I26" s="120" t="s">
        <v>227</v>
      </c>
      <c r="J26" s="130">
        <v>45971.0</v>
      </c>
      <c r="K26" s="120" t="s">
        <v>782</v>
      </c>
      <c r="L26" s="120" t="s">
        <v>227</v>
      </c>
      <c r="M26" s="130">
        <v>46004.0</v>
      </c>
      <c r="N26" s="120" t="s">
        <v>259</v>
      </c>
      <c r="O26" s="79"/>
      <c r="P26" s="57"/>
      <c r="Q26" s="89"/>
      <c r="R26" s="10"/>
      <c r="S26" s="10"/>
      <c r="T26" s="10"/>
      <c r="U26" s="10"/>
      <c r="V26" s="10"/>
      <c r="W26" s="10"/>
      <c r="X26" s="10"/>
      <c r="Y26" s="10"/>
      <c r="Z26" s="10"/>
    </row>
    <row r="27" ht="12.75" customHeight="1">
      <c r="A27" s="120" t="s">
        <v>2358</v>
      </c>
      <c r="B27" s="120" t="s">
        <v>2359</v>
      </c>
      <c r="C27" s="120" t="s">
        <v>2360</v>
      </c>
      <c r="D27" s="120" t="s">
        <v>2361</v>
      </c>
      <c r="E27" s="120" t="s">
        <v>2291</v>
      </c>
      <c r="F27" s="120" t="s">
        <v>228</v>
      </c>
      <c r="G27" s="122">
        <v>45935.0</v>
      </c>
      <c r="H27" s="120" t="s">
        <v>782</v>
      </c>
      <c r="I27" s="120" t="s">
        <v>227</v>
      </c>
      <c r="J27" s="130">
        <v>45971.0</v>
      </c>
      <c r="K27" s="120" t="s">
        <v>782</v>
      </c>
      <c r="L27" s="120" t="s">
        <v>227</v>
      </c>
      <c r="M27" s="130">
        <v>46004.0</v>
      </c>
      <c r="N27" s="120" t="s">
        <v>259</v>
      </c>
      <c r="O27" s="79"/>
      <c r="P27" s="57"/>
      <c r="Q27" s="89"/>
      <c r="R27" s="10"/>
      <c r="S27" s="10"/>
      <c r="T27" s="10"/>
      <c r="U27" s="10"/>
      <c r="V27" s="10"/>
      <c r="W27" s="10"/>
      <c r="X27" s="10"/>
      <c r="Y27" s="10"/>
      <c r="Z27" s="10"/>
    </row>
    <row r="28" ht="12.75" customHeight="1">
      <c r="A28" s="116" t="s">
        <v>2362</v>
      </c>
      <c r="B28" s="117"/>
      <c r="C28" s="117"/>
      <c r="D28" s="117"/>
      <c r="E28" s="117"/>
      <c r="F28" s="117"/>
      <c r="G28" s="117"/>
      <c r="H28" s="117"/>
      <c r="I28" s="117"/>
      <c r="J28" s="117"/>
      <c r="K28" s="117"/>
      <c r="L28" s="117"/>
      <c r="M28" s="117"/>
      <c r="N28" s="117"/>
      <c r="O28" s="117"/>
      <c r="P28" s="57"/>
      <c r="Q28" s="89"/>
      <c r="R28" s="10"/>
      <c r="S28" s="10"/>
      <c r="T28" s="10"/>
      <c r="U28" s="10"/>
      <c r="V28" s="10"/>
      <c r="W28" s="10"/>
      <c r="X28" s="10"/>
      <c r="Y28" s="10"/>
      <c r="Z28" s="10"/>
    </row>
    <row r="29" ht="12.75" customHeight="1">
      <c r="A29" s="120" t="s">
        <v>2363</v>
      </c>
      <c r="B29" s="120" t="s">
        <v>2364</v>
      </c>
      <c r="C29" s="120" t="s">
        <v>2365</v>
      </c>
      <c r="D29" s="120" t="s">
        <v>2366</v>
      </c>
      <c r="E29" s="120" t="s">
        <v>2367</v>
      </c>
      <c r="F29" s="120" t="s">
        <v>227</v>
      </c>
      <c r="G29" s="122">
        <v>45935.0</v>
      </c>
      <c r="H29" s="120" t="s">
        <v>782</v>
      </c>
      <c r="I29" s="120" t="s">
        <v>227</v>
      </c>
      <c r="J29" s="130">
        <v>45971.0</v>
      </c>
      <c r="K29" s="120" t="s">
        <v>782</v>
      </c>
      <c r="L29" s="120" t="s">
        <v>227</v>
      </c>
      <c r="M29" s="130">
        <v>46004.0</v>
      </c>
      <c r="N29" s="120" t="s">
        <v>259</v>
      </c>
      <c r="O29" s="123"/>
      <c r="P29" s="57"/>
      <c r="Q29" s="89"/>
      <c r="R29" s="10"/>
      <c r="S29" s="10"/>
      <c r="T29" s="10"/>
      <c r="U29" s="10"/>
      <c r="V29" s="10"/>
      <c r="W29" s="10"/>
      <c r="X29" s="10"/>
      <c r="Y29" s="10"/>
      <c r="Z29" s="10"/>
    </row>
    <row r="30" ht="12.75" customHeight="1">
      <c r="A30" s="120" t="s">
        <v>2368</v>
      </c>
      <c r="B30" s="120" t="s">
        <v>2369</v>
      </c>
      <c r="C30" s="120" t="s">
        <v>2370</v>
      </c>
      <c r="D30" s="120" t="s">
        <v>2371</v>
      </c>
      <c r="E30" s="120" t="s">
        <v>2372</v>
      </c>
      <c r="F30" s="120" t="s">
        <v>227</v>
      </c>
      <c r="G30" s="122">
        <v>45935.0</v>
      </c>
      <c r="H30" s="120" t="s">
        <v>782</v>
      </c>
      <c r="I30" s="120" t="s">
        <v>227</v>
      </c>
      <c r="J30" s="130">
        <v>45971.0</v>
      </c>
      <c r="K30" s="120" t="s">
        <v>782</v>
      </c>
      <c r="L30" s="120" t="s">
        <v>227</v>
      </c>
      <c r="M30" s="130">
        <v>46004.0</v>
      </c>
      <c r="N30" s="120" t="s">
        <v>259</v>
      </c>
      <c r="O30" s="79"/>
      <c r="P30" s="57"/>
      <c r="Q30" s="89"/>
      <c r="R30" s="10"/>
      <c r="S30" s="10"/>
      <c r="T30" s="10"/>
      <c r="U30" s="10"/>
      <c r="V30" s="10"/>
      <c r="W30" s="10"/>
      <c r="X30" s="10"/>
      <c r="Y30" s="10"/>
      <c r="Z30" s="10"/>
    </row>
    <row r="31" ht="12.75" customHeight="1">
      <c r="A31" s="120" t="s">
        <v>2373</v>
      </c>
      <c r="B31" s="120" t="s">
        <v>2374</v>
      </c>
      <c r="C31" s="120" t="s">
        <v>2375</v>
      </c>
      <c r="D31" s="120" t="s">
        <v>2376</v>
      </c>
      <c r="E31" s="120" t="s">
        <v>2377</v>
      </c>
      <c r="F31" s="120" t="s">
        <v>227</v>
      </c>
      <c r="G31" s="122">
        <v>45935.0</v>
      </c>
      <c r="H31" s="120" t="s">
        <v>782</v>
      </c>
      <c r="I31" s="120" t="s">
        <v>227</v>
      </c>
      <c r="J31" s="130">
        <v>45971.0</v>
      </c>
      <c r="K31" s="120" t="s">
        <v>782</v>
      </c>
      <c r="L31" s="120" t="s">
        <v>227</v>
      </c>
      <c r="M31" s="130">
        <v>46004.0</v>
      </c>
      <c r="N31" s="120" t="s">
        <v>259</v>
      </c>
      <c r="O31" s="79"/>
      <c r="P31" s="57"/>
      <c r="Q31" s="89"/>
      <c r="R31" s="10"/>
      <c r="S31" s="10"/>
      <c r="T31" s="10"/>
      <c r="U31" s="10"/>
      <c r="V31" s="10"/>
      <c r="W31" s="10"/>
      <c r="X31" s="10"/>
      <c r="Y31" s="10"/>
      <c r="Z31" s="10"/>
    </row>
    <row r="32" ht="12.75" customHeight="1">
      <c r="A32" s="120" t="s">
        <v>2378</v>
      </c>
      <c r="B32" s="120" t="s">
        <v>2379</v>
      </c>
      <c r="C32" s="120" t="s">
        <v>2380</v>
      </c>
      <c r="D32" s="120" t="s">
        <v>2381</v>
      </c>
      <c r="E32" s="120" t="s">
        <v>2382</v>
      </c>
      <c r="F32" s="120" t="s">
        <v>227</v>
      </c>
      <c r="G32" s="122">
        <v>45935.0</v>
      </c>
      <c r="H32" s="120" t="s">
        <v>782</v>
      </c>
      <c r="I32" s="120" t="s">
        <v>227</v>
      </c>
      <c r="J32" s="130">
        <v>45971.0</v>
      </c>
      <c r="K32" s="120" t="s">
        <v>782</v>
      </c>
      <c r="L32" s="120" t="s">
        <v>227</v>
      </c>
      <c r="M32" s="130">
        <v>46004.0</v>
      </c>
      <c r="N32" s="120" t="s">
        <v>259</v>
      </c>
      <c r="O32" s="79"/>
      <c r="P32" s="57"/>
      <c r="Q32" s="89"/>
      <c r="R32" s="10"/>
      <c r="S32" s="10"/>
      <c r="T32" s="10"/>
      <c r="U32" s="10"/>
      <c r="V32" s="10"/>
      <c r="W32" s="10"/>
      <c r="X32" s="10"/>
      <c r="Y32" s="10"/>
      <c r="Z32" s="10"/>
    </row>
    <row r="33" ht="12.75" customHeight="1">
      <c r="A33" s="120" t="s">
        <v>2383</v>
      </c>
      <c r="B33" s="120" t="s">
        <v>2384</v>
      </c>
      <c r="C33" s="120" t="s">
        <v>2385</v>
      </c>
      <c r="D33" s="120" t="s">
        <v>2386</v>
      </c>
      <c r="E33" s="120" t="s">
        <v>2387</v>
      </c>
      <c r="F33" s="120" t="s">
        <v>227</v>
      </c>
      <c r="G33" s="122">
        <v>45935.0</v>
      </c>
      <c r="H33" s="120" t="s">
        <v>782</v>
      </c>
      <c r="I33" s="120" t="s">
        <v>227</v>
      </c>
      <c r="J33" s="130">
        <v>45971.0</v>
      </c>
      <c r="K33" s="120" t="s">
        <v>782</v>
      </c>
      <c r="L33" s="120" t="s">
        <v>227</v>
      </c>
      <c r="M33" s="130">
        <v>46004.0</v>
      </c>
      <c r="N33" s="120" t="s">
        <v>259</v>
      </c>
      <c r="O33" s="79"/>
      <c r="P33" s="57"/>
      <c r="Q33" s="89"/>
      <c r="R33" s="10"/>
      <c r="S33" s="10"/>
      <c r="T33" s="10"/>
      <c r="U33" s="10"/>
      <c r="V33" s="10"/>
      <c r="W33" s="10"/>
      <c r="X33" s="10"/>
      <c r="Y33" s="10"/>
      <c r="Z33" s="10"/>
    </row>
    <row r="34" ht="12.75" customHeight="1">
      <c r="A34" s="116" t="s">
        <v>2388</v>
      </c>
      <c r="B34" s="117"/>
      <c r="C34" s="117"/>
      <c r="D34" s="117"/>
      <c r="E34" s="117"/>
      <c r="F34" s="117"/>
      <c r="G34" s="117"/>
      <c r="H34" s="117"/>
      <c r="I34" s="117"/>
      <c r="J34" s="117"/>
      <c r="K34" s="117"/>
      <c r="L34" s="117"/>
      <c r="M34" s="117"/>
      <c r="N34" s="117"/>
      <c r="O34" s="117"/>
      <c r="P34" s="57"/>
      <c r="Q34" s="89"/>
      <c r="R34" s="10"/>
      <c r="S34" s="10"/>
      <c r="T34" s="10"/>
      <c r="U34" s="10"/>
      <c r="V34" s="10"/>
      <c r="W34" s="10"/>
      <c r="X34" s="10"/>
      <c r="Y34" s="10"/>
      <c r="Z34" s="10"/>
    </row>
    <row r="35" ht="12.75" customHeight="1">
      <c r="A35" s="120" t="s">
        <v>2389</v>
      </c>
      <c r="B35" s="120" t="s">
        <v>2390</v>
      </c>
      <c r="C35" s="120" t="s">
        <v>2391</v>
      </c>
      <c r="D35" s="120" t="s">
        <v>2392</v>
      </c>
      <c r="E35" s="120" t="s">
        <v>2143</v>
      </c>
      <c r="F35" s="120" t="s">
        <v>228</v>
      </c>
      <c r="G35" s="122">
        <v>45935.0</v>
      </c>
      <c r="H35" s="120" t="s">
        <v>782</v>
      </c>
      <c r="I35" s="120" t="s">
        <v>227</v>
      </c>
      <c r="J35" s="130">
        <v>45971.0</v>
      </c>
      <c r="K35" s="120" t="s">
        <v>782</v>
      </c>
      <c r="L35" s="120" t="s">
        <v>227</v>
      </c>
      <c r="M35" s="130">
        <v>46004.0</v>
      </c>
      <c r="N35" s="120" t="s">
        <v>259</v>
      </c>
      <c r="O35" s="123"/>
      <c r="P35" s="57"/>
      <c r="Q35" s="89"/>
      <c r="R35" s="10"/>
      <c r="S35" s="10"/>
      <c r="T35" s="10"/>
      <c r="U35" s="10"/>
      <c r="V35" s="10"/>
      <c r="W35" s="10"/>
      <c r="X35" s="10"/>
      <c r="Y35" s="10"/>
      <c r="Z35" s="10"/>
    </row>
    <row r="36" ht="12.75" customHeight="1">
      <c r="A36" s="120" t="s">
        <v>2393</v>
      </c>
      <c r="B36" s="120" t="s">
        <v>2394</v>
      </c>
      <c r="C36" s="120" t="s">
        <v>2395</v>
      </c>
      <c r="D36" s="120" t="s">
        <v>2396</v>
      </c>
      <c r="E36" s="120" t="s">
        <v>2397</v>
      </c>
      <c r="F36" s="120" t="s">
        <v>227</v>
      </c>
      <c r="G36" s="122">
        <v>45935.0</v>
      </c>
      <c r="H36" s="120" t="s">
        <v>782</v>
      </c>
      <c r="I36" s="120" t="s">
        <v>227</v>
      </c>
      <c r="J36" s="130">
        <v>45971.0</v>
      </c>
      <c r="K36" s="120" t="s">
        <v>782</v>
      </c>
      <c r="L36" s="120" t="s">
        <v>227</v>
      </c>
      <c r="M36" s="130">
        <v>46004.0</v>
      </c>
      <c r="N36" s="120" t="s">
        <v>259</v>
      </c>
      <c r="O36" s="79"/>
      <c r="P36" s="57"/>
      <c r="Q36" s="89"/>
      <c r="R36" s="10"/>
      <c r="S36" s="10"/>
      <c r="T36" s="10"/>
      <c r="U36" s="10"/>
      <c r="V36" s="10"/>
      <c r="W36" s="10"/>
      <c r="X36" s="10"/>
      <c r="Y36" s="10"/>
      <c r="Z36" s="10"/>
    </row>
    <row r="37" ht="12.75" customHeight="1">
      <c r="A37" s="120" t="s">
        <v>2398</v>
      </c>
      <c r="B37" s="120" t="s">
        <v>2399</v>
      </c>
      <c r="C37" s="120" t="s">
        <v>2400</v>
      </c>
      <c r="D37" s="120" t="s">
        <v>2401</v>
      </c>
      <c r="E37" s="120" t="s">
        <v>2402</v>
      </c>
      <c r="F37" s="120" t="s">
        <v>227</v>
      </c>
      <c r="G37" s="122">
        <v>45935.0</v>
      </c>
      <c r="H37" s="120" t="s">
        <v>782</v>
      </c>
      <c r="I37" s="120" t="s">
        <v>227</v>
      </c>
      <c r="J37" s="130">
        <v>45971.0</v>
      </c>
      <c r="K37" s="120" t="s">
        <v>782</v>
      </c>
      <c r="L37" s="120" t="s">
        <v>227</v>
      </c>
      <c r="M37" s="130">
        <v>46004.0</v>
      </c>
      <c r="N37" s="120" t="s">
        <v>259</v>
      </c>
      <c r="O37" s="79"/>
      <c r="P37" s="57"/>
      <c r="Q37" s="89"/>
      <c r="R37" s="10"/>
      <c r="S37" s="10"/>
      <c r="T37" s="10"/>
      <c r="U37" s="10"/>
      <c r="V37" s="10"/>
      <c r="W37" s="10"/>
      <c r="X37" s="10"/>
      <c r="Y37" s="10"/>
      <c r="Z37" s="10"/>
    </row>
    <row r="38" ht="12.75" customHeight="1">
      <c r="A38" s="120" t="s">
        <v>2403</v>
      </c>
      <c r="B38" s="120" t="s">
        <v>2404</v>
      </c>
      <c r="C38" s="120" t="s">
        <v>2405</v>
      </c>
      <c r="D38" s="120" t="s">
        <v>2406</v>
      </c>
      <c r="E38" s="120" t="s">
        <v>2387</v>
      </c>
      <c r="F38" s="120" t="s">
        <v>228</v>
      </c>
      <c r="G38" s="122">
        <v>45935.0</v>
      </c>
      <c r="H38" s="120" t="s">
        <v>782</v>
      </c>
      <c r="I38" s="120" t="s">
        <v>227</v>
      </c>
      <c r="J38" s="130">
        <v>45971.0</v>
      </c>
      <c r="K38" s="120" t="s">
        <v>782</v>
      </c>
      <c r="L38" s="120" t="s">
        <v>227</v>
      </c>
      <c r="M38" s="130">
        <v>46004.0</v>
      </c>
      <c r="N38" s="120" t="s">
        <v>259</v>
      </c>
      <c r="O38" s="79"/>
      <c r="P38" s="57"/>
      <c r="Q38" s="89"/>
      <c r="R38" s="10"/>
      <c r="S38" s="10"/>
      <c r="T38" s="10"/>
      <c r="U38" s="10"/>
      <c r="V38" s="10"/>
      <c r="W38" s="10"/>
      <c r="X38" s="10"/>
      <c r="Y38" s="10"/>
      <c r="Z38" s="10"/>
    </row>
    <row r="39" ht="12.75" customHeight="1">
      <c r="A39" s="120" t="s">
        <v>2407</v>
      </c>
      <c r="B39" s="120" t="s">
        <v>2408</v>
      </c>
      <c r="C39" s="120" t="s">
        <v>2409</v>
      </c>
      <c r="D39" s="120" t="s">
        <v>2410</v>
      </c>
      <c r="E39" s="120" t="s">
        <v>2119</v>
      </c>
      <c r="F39" s="120" t="s">
        <v>227</v>
      </c>
      <c r="G39" s="122">
        <v>45935.0</v>
      </c>
      <c r="H39" s="120" t="s">
        <v>782</v>
      </c>
      <c r="I39" s="120" t="s">
        <v>227</v>
      </c>
      <c r="J39" s="130">
        <v>45971.0</v>
      </c>
      <c r="K39" s="120" t="s">
        <v>782</v>
      </c>
      <c r="L39" s="120" t="s">
        <v>227</v>
      </c>
      <c r="M39" s="130">
        <v>46004.0</v>
      </c>
      <c r="N39" s="120" t="s">
        <v>259</v>
      </c>
      <c r="O39" s="79"/>
      <c r="P39" s="57"/>
      <c r="Q39" s="89"/>
      <c r="R39" s="10"/>
      <c r="S39" s="10"/>
      <c r="T39" s="10"/>
      <c r="U39" s="10"/>
      <c r="V39" s="10"/>
      <c r="W39" s="10"/>
      <c r="X39" s="10"/>
      <c r="Y39" s="10"/>
      <c r="Z39" s="10"/>
    </row>
    <row r="40" ht="12.75" customHeight="1">
      <c r="A40" s="116" t="s">
        <v>2411</v>
      </c>
      <c r="B40" s="117"/>
      <c r="C40" s="117"/>
      <c r="D40" s="117"/>
      <c r="E40" s="117"/>
      <c r="F40" s="117"/>
      <c r="G40" s="117"/>
      <c r="H40" s="117"/>
      <c r="I40" s="117"/>
      <c r="J40" s="117"/>
      <c r="K40" s="117"/>
      <c r="L40" s="117"/>
      <c r="M40" s="117"/>
      <c r="N40" s="117"/>
      <c r="O40" s="117"/>
      <c r="P40" s="57"/>
      <c r="Q40" s="89"/>
      <c r="R40" s="10"/>
      <c r="S40" s="10"/>
      <c r="T40" s="10"/>
      <c r="U40" s="10"/>
      <c r="V40" s="10"/>
      <c r="W40" s="10"/>
      <c r="X40" s="10"/>
      <c r="Y40" s="10"/>
      <c r="Z40" s="10"/>
    </row>
    <row r="41" ht="12.75" customHeight="1">
      <c r="A41" s="120" t="s">
        <v>2412</v>
      </c>
      <c r="B41" s="120" t="s">
        <v>2413</v>
      </c>
      <c r="C41" s="120" t="s">
        <v>2414</v>
      </c>
      <c r="D41" s="120" t="s">
        <v>2415</v>
      </c>
      <c r="E41" s="120" t="s">
        <v>2416</v>
      </c>
      <c r="F41" s="120" t="s">
        <v>227</v>
      </c>
      <c r="G41" s="122">
        <v>45935.0</v>
      </c>
      <c r="H41" s="120" t="s">
        <v>782</v>
      </c>
      <c r="I41" s="120" t="s">
        <v>227</v>
      </c>
      <c r="J41" s="130">
        <v>45971.0</v>
      </c>
      <c r="K41" s="120" t="s">
        <v>782</v>
      </c>
      <c r="L41" s="120" t="s">
        <v>227</v>
      </c>
      <c r="M41" s="130">
        <v>46004.0</v>
      </c>
      <c r="N41" s="120" t="s">
        <v>259</v>
      </c>
      <c r="O41" s="123"/>
      <c r="P41" s="57"/>
      <c r="Q41" s="89"/>
      <c r="R41" s="10"/>
      <c r="S41" s="10"/>
      <c r="T41" s="10"/>
      <c r="U41" s="10"/>
      <c r="V41" s="10"/>
      <c r="W41" s="10"/>
      <c r="X41" s="10"/>
      <c r="Y41" s="10"/>
      <c r="Z41" s="10"/>
    </row>
    <row r="42" ht="12.75" customHeight="1">
      <c r="A42" s="120" t="s">
        <v>2417</v>
      </c>
      <c r="B42" s="120" t="s">
        <v>2418</v>
      </c>
      <c r="C42" s="120" t="s">
        <v>2419</v>
      </c>
      <c r="D42" s="120" t="s">
        <v>2420</v>
      </c>
      <c r="E42" s="120" t="s">
        <v>2421</v>
      </c>
      <c r="F42" s="120" t="s">
        <v>227</v>
      </c>
      <c r="G42" s="122">
        <v>45935.0</v>
      </c>
      <c r="H42" s="120" t="s">
        <v>782</v>
      </c>
      <c r="I42" s="120" t="s">
        <v>227</v>
      </c>
      <c r="J42" s="130">
        <v>45971.0</v>
      </c>
      <c r="K42" s="120" t="s">
        <v>782</v>
      </c>
      <c r="L42" s="120" t="s">
        <v>227</v>
      </c>
      <c r="M42" s="130">
        <v>46004.0</v>
      </c>
      <c r="N42" s="120" t="s">
        <v>259</v>
      </c>
      <c r="O42" s="79"/>
      <c r="P42" s="57"/>
      <c r="Q42" s="89"/>
      <c r="R42" s="10"/>
      <c r="S42" s="10"/>
      <c r="T42" s="10"/>
      <c r="U42" s="10"/>
      <c r="V42" s="10"/>
      <c r="W42" s="10"/>
      <c r="X42" s="10"/>
      <c r="Y42" s="10"/>
      <c r="Z42" s="10"/>
    </row>
    <row r="43" ht="12.75" customHeight="1">
      <c r="A43" s="120" t="s">
        <v>2422</v>
      </c>
      <c r="B43" s="120" t="s">
        <v>2423</v>
      </c>
      <c r="C43" s="120" t="s">
        <v>2424</v>
      </c>
      <c r="D43" s="120" t="s">
        <v>2425</v>
      </c>
      <c r="E43" s="120" t="s">
        <v>2426</v>
      </c>
      <c r="F43" s="120" t="s">
        <v>227</v>
      </c>
      <c r="G43" s="122">
        <v>45935.0</v>
      </c>
      <c r="H43" s="120" t="s">
        <v>782</v>
      </c>
      <c r="I43" s="120" t="s">
        <v>227</v>
      </c>
      <c r="J43" s="130">
        <v>45971.0</v>
      </c>
      <c r="K43" s="120" t="s">
        <v>782</v>
      </c>
      <c r="L43" s="120" t="s">
        <v>227</v>
      </c>
      <c r="M43" s="130">
        <v>46004.0</v>
      </c>
      <c r="N43" s="120" t="s">
        <v>259</v>
      </c>
      <c r="O43" s="79"/>
      <c r="P43" s="57"/>
      <c r="Q43" s="89"/>
      <c r="R43" s="10"/>
      <c r="S43" s="10"/>
      <c r="T43" s="10"/>
      <c r="U43" s="10"/>
      <c r="V43" s="10"/>
      <c r="W43" s="10"/>
      <c r="X43" s="10"/>
      <c r="Y43" s="10"/>
      <c r="Z43" s="10"/>
    </row>
    <row r="44" ht="12.75" customHeight="1">
      <c r="A44" s="120" t="s">
        <v>2427</v>
      </c>
      <c r="B44" s="120" t="s">
        <v>2428</v>
      </c>
      <c r="C44" s="120" t="s">
        <v>2429</v>
      </c>
      <c r="D44" s="120" t="s">
        <v>2430</v>
      </c>
      <c r="E44" s="120" t="s">
        <v>2119</v>
      </c>
      <c r="F44" s="120" t="s">
        <v>227</v>
      </c>
      <c r="G44" s="122">
        <v>45935.0</v>
      </c>
      <c r="H44" s="120" t="s">
        <v>782</v>
      </c>
      <c r="I44" s="120" t="s">
        <v>228</v>
      </c>
      <c r="J44" s="130">
        <v>45971.0</v>
      </c>
      <c r="K44" s="120" t="s">
        <v>782</v>
      </c>
      <c r="L44" s="120" t="s">
        <v>227</v>
      </c>
      <c r="M44" s="130">
        <v>46004.0</v>
      </c>
      <c r="N44" s="120" t="s">
        <v>259</v>
      </c>
      <c r="O44" s="79"/>
      <c r="P44" s="57"/>
      <c r="Q44" s="89"/>
      <c r="R44" s="10"/>
      <c r="S44" s="10"/>
      <c r="T44" s="10"/>
      <c r="U44" s="10"/>
      <c r="V44" s="10"/>
      <c r="W44" s="10"/>
      <c r="X44" s="10"/>
      <c r="Y44" s="10"/>
      <c r="Z44" s="10"/>
    </row>
    <row r="45" ht="12.75" customHeight="1">
      <c r="A45" s="120" t="s">
        <v>2431</v>
      </c>
      <c r="B45" s="120" t="s">
        <v>2432</v>
      </c>
      <c r="C45" s="120" t="s">
        <v>2433</v>
      </c>
      <c r="D45" s="120" t="s">
        <v>2434</v>
      </c>
      <c r="E45" s="120" t="s">
        <v>2435</v>
      </c>
      <c r="F45" s="120" t="s">
        <v>228</v>
      </c>
      <c r="G45" s="122">
        <v>45935.0</v>
      </c>
      <c r="H45" s="120" t="s">
        <v>782</v>
      </c>
      <c r="I45" s="120" t="s">
        <v>228</v>
      </c>
      <c r="J45" s="130">
        <v>45971.0</v>
      </c>
      <c r="K45" s="120" t="s">
        <v>782</v>
      </c>
      <c r="L45" s="120" t="s">
        <v>227</v>
      </c>
      <c r="M45" s="130">
        <v>46004.0</v>
      </c>
      <c r="N45" s="120" t="s">
        <v>259</v>
      </c>
      <c r="O45" s="79"/>
      <c r="P45" s="57"/>
      <c r="Q45" s="89"/>
      <c r="R45" s="10"/>
      <c r="S45" s="10"/>
      <c r="T45" s="10"/>
      <c r="U45" s="10"/>
      <c r="V45" s="10"/>
      <c r="W45" s="10"/>
      <c r="X45" s="10"/>
      <c r="Y45" s="10"/>
      <c r="Z45" s="10"/>
    </row>
    <row r="46" ht="12.75" customHeight="1">
      <c r="A46" s="116" t="s">
        <v>2436</v>
      </c>
      <c r="B46" s="117"/>
      <c r="C46" s="117"/>
      <c r="D46" s="117"/>
      <c r="E46" s="117"/>
      <c r="F46" s="117"/>
      <c r="G46" s="117"/>
      <c r="H46" s="117"/>
      <c r="I46" s="117"/>
      <c r="J46" s="117"/>
      <c r="K46" s="117"/>
      <c r="L46" s="117"/>
      <c r="M46" s="117"/>
      <c r="N46" s="117"/>
      <c r="O46" s="117"/>
      <c r="P46" s="57"/>
      <c r="Q46" s="89"/>
      <c r="R46" s="10"/>
      <c r="S46" s="10"/>
      <c r="T46" s="10"/>
      <c r="U46" s="10"/>
      <c r="V46" s="10"/>
      <c r="W46" s="10"/>
      <c r="X46" s="10"/>
      <c r="Y46" s="10"/>
      <c r="Z46" s="10"/>
    </row>
    <row r="47" ht="12.75" customHeight="1">
      <c r="A47" s="120" t="s">
        <v>2437</v>
      </c>
      <c r="B47" s="120" t="s">
        <v>2438</v>
      </c>
      <c r="C47" s="120" t="s">
        <v>2439</v>
      </c>
      <c r="D47" s="120" t="s">
        <v>2440</v>
      </c>
      <c r="E47" s="120" t="s">
        <v>2441</v>
      </c>
      <c r="F47" s="120" t="s">
        <v>227</v>
      </c>
      <c r="G47" s="122">
        <v>45935.0</v>
      </c>
      <c r="H47" s="120" t="s">
        <v>782</v>
      </c>
      <c r="I47" s="120" t="s">
        <v>227</v>
      </c>
      <c r="J47" s="130">
        <v>45971.0</v>
      </c>
      <c r="K47" s="120" t="s">
        <v>782</v>
      </c>
      <c r="L47" s="120" t="s">
        <v>227</v>
      </c>
      <c r="M47" s="130">
        <v>46004.0</v>
      </c>
      <c r="N47" s="120" t="s">
        <v>259</v>
      </c>
      <c r="O47" s="123"/>
      <c r="P47" s="57"/>
      <c r="Q47" s="89"/>
      <c r="R47" s="10"/>
      <c r="S47" s="10"/>
      <c r="T47" s="10"/>
      <c r="U47" s="10"/>
      <c r="V47" s="10"/>
      <c r="W47" s="10"/>
      <c r="X47" s="10"/>
      <c r="Y47" s="10"/>
      <c r="Z47" s="10"/>
    </row>
    <row r="48" ht="12.75" customHeight="1">
      <c r="A48" s="120" t="s">
        <v>2442</v>
      </c>
      <c r="B48" s="120" t="s">
        <v>2443</v>
      </c>
      <c r="C48" s="120" t="s">
        <v>2444</v>
      </c>
      <c r="D48" s="120" t="s">
        <v>2445</v>
      </c>
      <c r="E48" s="120" t="s">
        <v>2446</v>
      </c>
      <c r="F48" s="120" t="s">
        <v>227</v>
      </c>
      <c r="G48" s="122">
        <v>45935.0</v>
      </c>
      <c r="H48" s="120" t="s">
        <v>782</v>
      </c>
      <c r="I48" s="120" t="s">
        <v>228</v>
      </c>
      <c r="J48" s="130">
        <v>45971.0</v>
      </c>
      <c r="K48" s="120" t="s">
        <v>782</v>
      </c>
      <c r="L48" s="120" t="s">
        <v>227</v>
      </c>
      <c r="M48" s="130">
        <v>46004.0</v>
      </c>
      <c r="N48" s="120" t="s">
        <v>259</v>
      </c>
      <c r="O48" s="79"/>
      <c r="P48" s="57"/>
      <c r="Q48" s="89"/>
      <c r="R48" s="10"/>
      <c r="S48" s="10"/>
      <c r="T48" s="10"/>
      <c r="U48" s="10"/>
      <c r="V48" s="10"/>
      <c r="W48" s="10"/>
      <c r="X48" s="10"/>
      <c r="Y48" s="10"/>
      <c r="Z48" s="10"/>
    </row>
    <row r="49" ht="12.75" customHeight="1">
      <c r="A49" s="120" t="s">
        <v>2447</v>
      </c>
      <c r="B49" s="120" t="s">
        <v>2448</v>
      </c>
      <c r="C49" s="120" t="s">
        <v>2449</v>
      </c>
      <c r="D49" s="120" t="s">
        <v>2450</v>
      </c>
      <c r="E49" s="120" t="s">
        <v>2451</v>
      </c>
      <c r="F49" s="120" t="s">
        <v>227</v>
      </c>
      <c r="G49" s="122">
        <v>45935.0</v>
      </c>
      <c r="H49" s="120" t="s">
        <v>782</v>
      </c>
      <c r="I49" s="120" t="s">
        <v>227</v>
      </c>
      <c r="J49" s="130">
        <v>45971.0</v>
      </c>
      <c r="K49" s="120" t="s">
        <v>782</v>
      </c>
      <c r="L49" s="120" t="s">
        <v>227</v>
      </c>
      <c r="M49" s="130">
        <v>46004.0</v>
      </c>
      <c r="N49" s="120" t="s">
        <v>259</v>
      </c>
      <c r="O49" s="79"/>
      <c r="P49" s="57"/>
      <c r="Q49" s="89"/>
      <c r="R49" s="10"/>
      <c r="S49" s="10"/>
      <c r="T49" s="10"/>
      <c r="U49" s="10"/>
      <c r="V49" s="10"/>
      <c r="W49" s="10"/>
      <c r="X49" s="10"/>
      <c r="Y49" s="10"/>
      <c r="Z49" s="10"/>
    </row>
    <row r="50" ht="12.75" customHeight="1">
      <c r="A50" s="120" t="s">
        <v>2452</v>
      </c>
      <c r="B50" s="120" t="s">
        <v>2453</v>
      </c>
      <c r="C50" s="120" t="s">
        <v>2454</v>
      </c>
      <c r="D50" s="120" t="s">
        <v>2455</v>
      </c>
      <c r="E50" s="120" t="s">
        <v>2456</v>
      </c>
      <c r="F50" s="120" t="s">
        <v>227</v>
      </c>
      <c r="G50" s="122">
        <v>45935.0</v>
      </c>
      <c r="H50" s="120" t="s">
        <v>782</v>
      </c>
      <c r="I50" s="120" t="s">
        <v>227</v>
      </c>
      <c r="J50" s="130">
        <v>45971.0</v>
      </c>
      <c r="K50" s="120" t="s">
        <v>782</v>
      </c>
      <c r="L50" s="120" t="s">
        <v>227</v>
      </c>
      <c r="M50" s="130">
        <v>46004.0</v>
      </c>
      <c r="N50" s="120" t="s">
        <v>259</v>
      </c>
      <c r="O50" s="79"/>
      <c r="P50" s="57"/>
      <c r="Q50" s="89"/>
      <c r="R50" s="10"/>
      <c r="S50" s="10"/>
      <c r="T50" s="10"/>
      <c r="U50" s="10"/>
      <c r="V50" s="10"/>
      <c r="W50" s="10"/>
      <c r="X50" s="10"/>
      <c r="Y50" s="10"/>
      <c r="Z50" s="10"/>
    </row>
    <row r="51" ht="12.75" customHeight="1">
      <c r="A51" s="116" t="s">
        <v>2457</v>
      </c>
      <c r="B51" s="117"/>
      <c r="C51" s="117"/>
      <c r="D51" s="117"/>
      <c r="E51" s="117"/>
      <c r="F51" s="117"/>
      <c r="G51" s="117"/>
      <c r="H51" s="117"/>
      <c r="I51" s="117"/>
      <c r="J51" s="117"/>
      <c r="K51" s="117"/>
      <c r="L51" s="117"/>
      <c r="M51" s="117"/>
      <c r="N51" s="117"/>
      <c r="O51" s="117"/>
      <c r="P51" s="57"/>
      <c r="Q51" s="89"/>
      <c r="R51" s="10"/>
      <c r="S51" s="10"/>
      <c r="T51" s="10"/>
      <c r="U51" s="10"/>
      <c r="V51" s="10"/>
      <c r="W51" s="10"/>
      <c r="X51" s="10"/>
      <c r="Y51" s="10"/>
      <c r="Z51" s="10"/>
    </row>
    <row r="52" ht="12.75" customHeight="1">
      <c r="A52" s="120" t="s">
        <v>2458</v>
      </c>
      <c r="B52" s="120" t="s">
        <v>2459</v>
      </c>
      <c r="C52" s="120" t="s">
        <v>2460</v>
      </c>
      <c r="D52" s="120" t="s">
        <v>2461</v>
      </c>
      <c r="E52" s="120" t="s">
        <v>2462</v>
      </c>
      <c r="F52" s="120" t="s">
        <v>227</v>
      </c>
      <c r="G52" s="122">
        <v>45935.0</v>
      </c>
      <c r="H52" s="120" t="s">
        <v>782</v>
      </c>
      <c r="I52" s="120" t="s">
        <v>227</v>
      </c>
      <c r="J52" s="130">
        <v>45971.0</v>
      </c>
      <c r="K52" s="120" t="s">
        <v>782</v>
      </c>
      <c r="L52" s="120" t="s">
        <v>227</v>
      </c>
      <c r="M52" s="130">
        <v>46004.0</v>
      </c>
      <c r="N52" s="120" t="s">
        <v>259</v>
      </c>
      <c r="O52" s="123"/>
      <c r="P52" s="57"/>
      <c r="Q52" s="89"/>
      <c r="R52" s="10"/>
      <c r="S52" s="10"/>
      <c r="T52" s="10"/>
      <c r="U52" s="10"/>
      <c r="V52" s="10"/>
      <c r="W52" s="10"/>
      <c r="X52" s="10"/>
      <c r="Y52" s="10"/>
      <c r="Z52" s="10"/>
    </row>
    <row r="53" ht="12.75" customHeight="1">
      <c r="A53" s="120" t="s">
        <v>2463</v>
      </c>
      <c r="B53" s="120" t="s">
        <v>2464</v>
      </c>
      <c r="C53" s="120" t="s">
        <v>2465</v>
      </c>
      <c r="D53" s="120" t="s">
        <v>2466</v>
      </c>
      <c r="E53" s="120" t="s">
        <v>2467</v>
      </c>
      <c r="F53" s="120" t="s">
        <v>227</v>
      </c>
      <c r="G53" s="122">
        <v>45935.0</v>
      </c>
      <c r="H53" s="120" t="s">
        <v>782</v>
      </c>
      <c r="I53" s="120" t="s">
        <v>227</v>
      </c>
      <c r="J53" s="130">
        <v>45971.0</v>
      </c>
      <c r="K53" s="120" t="s">
        <v>782</v>
      </c>
      <c r="L53" s="120" t="s">
        <v>227</v>
      </c>
      <c r="M53" s="130">
        <v>46004.0</v>
      </c>
      <c r="N53" s="120" t="s">
        <v>259</v>
      </c>
      <c r="O53" s="79"/>
      <c r="P53" s="57"/>
      <c r="Q53" s="89"/>
      <c r="R53" s="10"/>
      <c r="S53" s="10"/>
      <c r="T53" s="10"/>
      <c r="U53" s="10"/>
      <c r="V53" s="10"/>
      <c r="W53" s="10"/>
      <c r="X53" s="10"/>
      <c r="Y53" s="10"/>
      <c r="Z53" s="10"/>
    </row>
    <row r="54" ht="12.75" customHeight="1">
      <c r="A54" s="120" t="s">
        <v>2468</v>
      </c>
      <c r="B54" s="120" t="s">
        <v>2469</v>
      </c>
      <c r="C54" s="120" t="s">
        <v>2470</v>
      </c>
      <c r="D54" s="120" t="s">
        <v>2471</v>
      </c>
      <c r="E54" s="120" t="s">
        <v>2472</v>
      </c>
      <c r="F54" s="120" t="s">
        <v>227</v>
      </c>
      <c r="G54" s="122">
        <v>45935.0</v>
      </c>
      <c r="H54" s="120" t="s">
        <v>782</v>
      </c>
      <c r="I54" s="120" t="s">
        <v>227</v>
      </c>
      <c r="J54" s="130">
        <v>45971.0</v>
      </c>
      <c r="K54" s="120" t="s">
        <v>782</v>
      </c>
      <c r="L54" s="120" t="s">
        <v>227</v>
      </c>
      <c r="M54" s="130">
        <v>46004.0</v>
      </c>
      <c r="N54" s="120" t="s">
        <v>259</v>
      </c>
      <c r="O54" s="79"/>
      <c r="P54" s="57"/>
      <c r="Q54" s="89"/>
      <c r="R54" s="10"/>
      <c r="S54" s="10"/>
      <c r="T54" s="10"/>
      <c r="U54" s="10"/>
      <c r="V54" s="10"/>
      <c r="W54" s="10"/>
      <c r="X54" s="10"/>
      <c r="Y54" s="10"/>
      <c r="Z54" s="10"/>
    </row>
    <row r="55" ht="12.75" customHeight="1">
      <c r="A55" s="120" t="s">
        <v>2473</v>
      </c>
      <c r="B55" s="120" t="s">
        <v>2474</v>
      </c>
      <c r="C55" s="120" t="s">
        <v>2475</v>
      </c>
      <c r="D55" s="120" t="s">
        <v>2476</v>
      </c>
      <c r="E55" s="120" t="s">
        <v>2477</v>
      </c>
      <c r="F55" s="120" t="s">
        <v>227</v>
      </c>
      <c r="G55" s="122">
        <v>45935.0</v>
      </c>
      <c r="H55" s="120" t="s">
        <v>782</v>
      </c>
      <c r="I55" s="120" t="s">
        <v>227</v>
      </c>
      <c r="J55" s="130">
        <v>45971.0</v>
      </c>
      <c r="K55" s="120" t="s">
        <v>782</v>
      </c>
      <c r="L55" s="120" t="s">
        <v>227</v>
      </c>
      <c r="M55" s="130">
        <v>46004.0</v>
      </c>
      <c r="N55" s="120" t="s">
        <v>259</v>
      </c>
      <c r="O55" s="79"/>
      <c r="P55" s="57"/>
      <c r="Q55" s="89"/>
      <c r="R55" s="10"/>
      <c r="S55" s="10"/>
      <c r="T55" s="10"/>
      <c r="U55" s="10"/>
      <c r="V55" s="10"/>
      <c r="W55" s="10"/>
      <c r="X55" s="10"/>
      <c r="Y55" s="10"/>
      <c r="Z55" s="10"/>
    </row>
    <row r="56" ht="12.75" customHeight="1">
      <c r="A56" s="120" t="s">
        <v>2478</v>
      </c>
      <c r="B56" s="120" t="s">
        <v>2479</v>
      </c>
      <c r="C56" s="120" t="s">
        <v>2480</v>
      </c>
      <c r="D56" s="120" t="s">
        <v>2481</v>
      </c>
      <c r="E56" s="120" t="s">
        <v>2482</v>
      </c>
      <c r="F56" s="120" t="s">
        <v>227</v>
      </c>
      <c r="G56" s="122">
        <v>45935.0</v>
      </c>
      <c r="H56" s="120" t="s">
        <v>782</v>
      </c>
      <c r="I56" s="120" t="s">
        <v>227</v>
      </c>
      <c r="J56" s="130">
        <v>45971.0</v>
      </c>
      <c r="K56" s="120" t="s">
        <v>782</v>
      </c>
      <c r="L56" s="120" t="s">
        <v>227</v>
      </c>
      <c r="M56" s="130">
        <v>46004.0</v>
      </c>
      <c r="N56" s="120" t="s">
        <v>259</v>
      </c>
      <c r="O56" s="79"/>
      <c r="P56" s="57"/>
      <c r="Q56" s="8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8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8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8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8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8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8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8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8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8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8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8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8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8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8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8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8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8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8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8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8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8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8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8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8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8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8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8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8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8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8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8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8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8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8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8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8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8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8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8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8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8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8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8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8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8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8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8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8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8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8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8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8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8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8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8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8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8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8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8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8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8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8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8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8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8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8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8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8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8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8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8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8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8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8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8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8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8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8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8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8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8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8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8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8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8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8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8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8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8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8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8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8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8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8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8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8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8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8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8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8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8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8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8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8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8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8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8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8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8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8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8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8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8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8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8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8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8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8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8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8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8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8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8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8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8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8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8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8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8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8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8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8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8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8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8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8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8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8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8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8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8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8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8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8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8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8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8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8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8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8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8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8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8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8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8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8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8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8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8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8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8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8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8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8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8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8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8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8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8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8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8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8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8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8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8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8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8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8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8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8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8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8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8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8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8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8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8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8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8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8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8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8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8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8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8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8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8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8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8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8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8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8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8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8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8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8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8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8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8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8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8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8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8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8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8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8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8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8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8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8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8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8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8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8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8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8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8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8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8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8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8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8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8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8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8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8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8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8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8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8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8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8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8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8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8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8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8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8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8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8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8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8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8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8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8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8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8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8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8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8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8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8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8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8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8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8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8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8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8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8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8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8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8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8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8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8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8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8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8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8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8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8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8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8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8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8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8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8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8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8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8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8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8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8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8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8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8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8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8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8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8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8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8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8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8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8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8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8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8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8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8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8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8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8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8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8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8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8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8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8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8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8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8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8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8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8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8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8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8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8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8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8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8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8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8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8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8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8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8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8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8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8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8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8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8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8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8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8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8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8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8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8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8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8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8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8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8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8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8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8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8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8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8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8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8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8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8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8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8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8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8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8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8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8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8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8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8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8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8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8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8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8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8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8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8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8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8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8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8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8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8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8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8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8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8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8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8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8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8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8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8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8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8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8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8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8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8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8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8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8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8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8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8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8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8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8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8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8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8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8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8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8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8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8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8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8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8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8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8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8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8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8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8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8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8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8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8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8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8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8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8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8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8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8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8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8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8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8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8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8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8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8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8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8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8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8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8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8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8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8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8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8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8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8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8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8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8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8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8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8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8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8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8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8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8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8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8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8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8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8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8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8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8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8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8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8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8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8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8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8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8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8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8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8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8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8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8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8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8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8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8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8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8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8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8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8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8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8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8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8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8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8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8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8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8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8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8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8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8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8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8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8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8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8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8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8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8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8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8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8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8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8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8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8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8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8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8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8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8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8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8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8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8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8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8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8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8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8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8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8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8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8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8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8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8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8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8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8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8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8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8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8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8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8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8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8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8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8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8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8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8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8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8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8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8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8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8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8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8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8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8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8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8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8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8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8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8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8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8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8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8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8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8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8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8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8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8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8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8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8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8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8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8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8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8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8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8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8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8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8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8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8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8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8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8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8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8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8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8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8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8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8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8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8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8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8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8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8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8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8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8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8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8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8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8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8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8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8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8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8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8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8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8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8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8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8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8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8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8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8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8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8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8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8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8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8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8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8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8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8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8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8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8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8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8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8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8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8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8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8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8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8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8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8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8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8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8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8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8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8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8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8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8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8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8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8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8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8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8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8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8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8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8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8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8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8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8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8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8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8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8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8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8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8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8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8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8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8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8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8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8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8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8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8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8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8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8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8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8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8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8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8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8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8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8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8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8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8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8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8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8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8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8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8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8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8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8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8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8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8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8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8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8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8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8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8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8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8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8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8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8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8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8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8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8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8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8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8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8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8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8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8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8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8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8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8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8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8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8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8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8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8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8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8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8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8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8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8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8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8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8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8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8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8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8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8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8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8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8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8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8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8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8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8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8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8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8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8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8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8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8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8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8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8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8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8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8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8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8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8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8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8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8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8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8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8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8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89"/>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89"/>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89"/>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89"/>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89"/>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89"/>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89"/>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89"/>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89"/>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89"/>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89"/>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89"/>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89"/>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89"/>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89"/>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89"/>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89"/>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89"/>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89"/>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89"/>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89"/>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89"/>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89"/>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89"/>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89"/>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89"/>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89"/>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89"/>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89"/>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89"/>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89"/>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89"/>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89"/>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89"/>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89"/>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89"/>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89"/>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89"/>
      <c r="R911" s="10"/>
      <c r="S911" s="10"/>
      <c r="T911" s="10"/>
      <c r="U911" s="10"/>
      <c r="V911" s="10"/>
      <c r="W911" s="10"/>
      <c r="X911" s="10"/>
      <c r="Y911" s="10"/>
      <c r="Z911" s="10"/>
    </row>
  </sheetData>
  <mergeCells count="3">
    <mergeCell ref="B2:E2"/>
    <mergeCell ref="B3:E3"/>
    <mergeCell ref="B4:E4"/>
  </mergeCells>
  <dataValidations>
    <dataValidation type="list" allowBlank="1" showErrorMessage="1" sqref="G2:G3 J2:J3 M2:M3 G9 J9 M9 F12:F56 I12:I56 L12:L56">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9.13" outlineLevel="1"/>
    <col customWidth="1" min="9" max="9" width="9.38"/>
    <col customWidth="1" min="10" max="10" width="10.63" outlineLevel="1"/>
    <col customWidth="1" min="11" max="11" width="10.38" outlineLevel="1"/>
    <col customWidth="1" min="12" max="12" width="9.38"/>
    <col customWidth="1" min="13" max="13" width="10.63" outlineLevel="1"/>
    <col customWidth="1" min="14" max="14" width="11.88"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89"/>
      <c r="R1" s="10"/>
      <c r="S1" s="10"/>
      <c r="T1" s="10"/>
      <c r="U1" s="10"/>
      <c r="V1" s="10"/>
      <c r="W1" s="10"/>
      <c r="X1" s="10"/>
      <c r="Y1" s="10"/>
      <c r="Z1" s="10"/>
    </row>
    <row r="2" ht="15.0" customHeight="1">
      <c r="A2" s="90" t="s">
        <v>236</v>
      </c>
      <c r="B2" s="91" t="s">
        <v>69</v>
      </c>
      <c r="C2" s="92"/>
      <c r="D2" s="92"/>
      <c r="E2" s="93"/>
      <c r="F2" s="94"/>
      <c r="G2" s="95"/>
      <c r="H2" s="40"/>
      <c r="I2" s="94"/>
      <c r="J2" s="95"/>
      <c r="K2" s="40"/>
      <c r="L2" s="94"/>
      <c r="M2" s="95"/>
      <c r="N2" s="40"/>
      <c r="O2" s="40"/>
      <c r="P2" s="40"/>
      <c r="Q2" s="96"/>
      <c r="R2" s="97" t="s">
        <v>227</v>
      </c>
      <c r="S2" s="97"/>
      <c r="T2" s="97"/>
      <c r="U2" s="97"/>
      <c r="V2" s="97"/>
      <c r="W2" s="97"/>
      <c r="X2" s="97"/>
      <c r="Y2" s="97"/>
      <c r="Z2" s="97"/>
    </row>
    <row r="3" ht="12.75" customHeight="1">
      <c r="A3" s="98" t="s">
        <v>237</v>
      </c>
      <c r="B3" s="99" t="s">
        <v>2483</v>
      </c>
      <c r="C3" s="5"/>
      <c r="D3" s="5"/>
      <c r="E3" s="100"/>
      <c r="F3" s="94"/>
      <c r="G3" s="95"/>
      <c r="H3" s="40"/>
      <c r="I3" s="94"/>
      <c r="J3" s="95"/>
      <c r="K3" s="40"/>
      <c r="L3" s="94"/>
      <c r="M3" s="95"/>
      <c r="N3" s="40"/>
      <c r="O3" s="40"/>
      <c r="P3" s="40"/>
      <c r="Q3" s="96"/>
      <c r="R3" s="97" t="s">
        <v>228</v>
      </c>
      <c r="S3" s="97"/>
      <c r="T3" s="97"/>
      <c r="U3" s="97"/>
      <c r="V3" s="97"/>
      <c r="W3" s="97"/>
      <c r="X3" s="97"/>
      <c r="Y3" s="97"/>
      <c r="Z3" s="97"/>
    </row>
    <row r="4" ht="18.0" customHeight="1">
      <c r="A4" s="98" t="s">
        <v>239</v>
      </c>
      <c r="B4" s="127">
        <f>COUNTA(A12:A684)-6</f>
        <v>26</v>
      </c>
      <c r="C4" s="5"/>
      <c r="D4" s="5"/>
      <c r="E4" s="100"/>
      <c r="F4" s="94"/>
      <c r="G4" s="95"/>
      <c r="H4" s="40"/>
      <c r="I4" s="94"/>
      <c r="J4" s="95"/>
      <c r="K4" s="40"/>
      <c r="L4" s="94"/>
      <c r="M4" s="95"/>
      <c r="N4" s="40"/>
      <c r="O4" s="40"/>
      <c r="P4" s="40"/>
      <c r="Q4" s="96"/>
      <c r="R4" s="97" t="s">
        <v>229</v>
      </c>
      <c r="S4" s="97"/>
      <c r="T4" s="97"/>
      <c r="U4" s="97"/>
      <c r="V4" s="97"/>
      <c r="W4" s="97"/>
      <c r="X4" s="97"/>
      <c r="Y4" s="97"/>
      <c r="Z4" s="97"/>
    </row>
    <row r="5" ht="19.5" customHeight="1">
      <c r="A5" s="101" t="s">
        <v>240</v>
      </c>
      <c r="B5" s="102" t="s">
        <v>227</v>
      </c>
      <c r="C5" s="102" t="s">
        <v>228</v>
      </c>
      <c r="D5" s="102" t="s">
        <v>229</v>
      </c>
      <c r="E5" s="103" t="s">
        <v>230</v>
      </c>
      <c r="F5" s="104"/>
      <c r="G5" s="104"/>
      <c r="H5" s="105"/>
      <c r="I5" s="104"/>
      <c r="J5" s="104"/>
      <c r="K5" s="105"/>
      <c r="L5" s="104"/>
      <c r="M5" s="104"/>
      <c r="N5" s="105"/>
      <c r="O5" s="105"/>
      <c r="P5" s="105"/>
      <c r="Q5" s="106"/>
      <c r="R5" s="97" t="s">
        <v>230</v>
      </c>
      <c r="S5" s="97"/>
      <c r="T5" s="97"/>
      <c r="U5" s="97"/>
      <c r="V5" s="97"/>
      <c r="W5" s="97"/>
      <c r="X5" s="97"/>
      <c r="Y5" s="97"/>
      <c r="Z5" s="97"/>
    </row>
    <row r="6" ht="15.0" customHeight="1">
      <c r="A6" s="101" t="s">
        <v>241</v>
      </c>
      <c r="B6" s="107">
        <f t="shared" ref="B6:E6" si="1">COUNTIF($F10:$F682,B5)</f>
        <v>22</v>
      </c>
      <c r="C6" s="107">
        <f t="shared" si="1"/>
        <v>4</v>
      </c>
      <c r="D6" s="107">
        <f t="shared" si="1"/>
        <v>0</v>
      </c>
      <c r="E6" s="108">
        <f t="shared" si="1"/>
        <v>0</v>
      </c>
      <c r="F6" s="109"/>
      <c r="G6" s="109"/>
      <c r="H6" s="105"/>
      <c r="I6" s="109"/>
      <c r="J6" s="109"/>
      <c r="K6" s="105"/>
      <c r="L6" s="109"/>
      <c r="M6" s="109"/>
      <c r="N6" s="105"/>
      <c r="O6" s="105"/>
      <c r="P6" s="105"/>
      <c r="Q6" s="106"/>
      <c r="R6" s="97"/>
      <c r="S6" s="97"/>
      <c r="T6" s="97"/>
      <c r="U6" s="97"/>
      <c r="V6" s="97"/>
      <c r="W6" s="97"/>
      <c r="X6" s="97"/>
      <c r="Y6" s="97"/>
      <c r="Z6" s="97"/>
    </row>
    <row r="7" ht="15.0" customHeight="1">
      <c r="A7" s="101" t="s">
        <v>242</v>
      </c>
      <c r="B7" s="107">
        <f>COUNTIF($I10:$I599,B5)</f>
        <v>23</v>
      </c>
      <c r="C7" s="107">
        <f>COUNTIF($I10:$FI599,C5)</f>
        <v>3</v>
      </c>
      <c r="D7" s="107">
        <f t="shared" ref="D7:E7" si="2">COUNTIF($F10:$F682,D5)</f>
        <v>0</v>
      </c>
      <c r="E7" s="108">
        <f t="shared" si="2"/>
        <v>0</v>
      </c>
      <c r="F7" s="109"/>
      <c r="G7" s="109"/>
      <c r="H7" s="105"/>
      <c r="I7" s="109"/>
      <c r="J7" s="109"/>
      <c r="K7" s="105"/>
      <c r="L7" s="109"/>
      <c r="M7" s="109"/>
      <c r="N7" s="105"/>
      <c r="O7" s="105"/>
      <c r="P7" s="105"/>
      <c r="Q7" s="106"/>
      <c r="R7" s="97"/>
      <c r="S7" s="97"/>
      <c r="T7" s="97"/>
      <c r="U7" s="97"/>
      <c r="V7" s="97"/>
      <c r="W7" s="97"/>
      <c r="X7" s="97"/>
      <c r="Y7" s="97"/>
      <c r="Z7" s="97"/>
    </row>
    <row r="8" ht="15.0" customHeight="1">
      <c r="A8" s="110" t="s">
        <v>243</v>
      </c>
      <c r="B8" s="111">
        <f t="shared" ref="B8:C8" si="3">COUNTIF($L10:$L599,B5)</f>
        <v>24</v>
      </c>
      <c r="C8" s="111">
        <f t="shared" si="3"/>
        <v>0</v>
      </c>
      <c r="D8" s="111">
        <f t="shared" ref="D8:E8" si="4">COUNTIF($F10:$F682,D5)</f>
        <v>0</v>
      </c>
      <c r="E8" s="112">
        <f t="shared" si="4"/>
        <v>0</v>
      </c>
      <c r="F8" s="109"/>
      <c r="G8" s="109"/>
      <c r="H8" s="105"/>
      <c r="I8" s="109"/>
      <c r="J8" s="109"/>
      <c r="K8" s="105"/>
      <c r="L8" s="109"/>
      <c r="M8" s="109"/>
      <c r="N8" s="105"/>
      <c r="O8" s="105"/>
      <c r="P8" s="105"/>
      <c r="Q8" s="106"/>
      <c r="R8" s="97"/>
      <c r="S8" s="97"/>
      <c r="T8" s="97"/>
      <c r="U8" s="97"/>
      <c r="V8" s="97"/>
      <c r="W8" s="97"/>
      <c r="X8" s="97"/>
      <c r="Y8" s="97"/>
      <c r="Z8" s="97"/>
    </row>
    <row r="9" ht="15.0" customHeight="1">
      <c r="A9" s="105"/>
      <c r="B9" s="105"/>
      <c r="C9" s="105"/>
      <c r="D9" s="105"/>
      <c r="E9" s="105"/>
      <c r="F9" s="88"/>
      <c r="G9" s="105"/>
      <c r="H9" s="105"/>
      <c r="I9" s="88"/>
      <c r="J9" s="105"/>
      <c r="K9" s="105"/>
      <c r="L9" s="88"/>
      <c r="M9" s="105"/>
      <c r="N9" s="105"/>
      <c r="O9" s="105"/>
      <c r="P9" s="105"/>
      <c r="Q9" s="106"/>
      <c r="R9" s="97"/>
      <c r="S9" s="97"/>
      <c r="T9" s="97"/>
      <c r="U9" s="97"/>
      <c r="V9" s="97"/>
      <c r="W9" s="97"/>
      <c r="X9" s="97"/>
      <c r="Y9" s="97"/>
      <c r="Z9" s="97"/>
    </row>
    <row r="10" ht="25.5" customHeight="1">
      <c r="A10" s="114" t="s">
        <v>244</v>
      </c>
      <c r="B10" s="114" t="s">
        <v>245</v>
      </c>
      <c r="C10" s="114" t="s">
        <v>246</v>
      </c>
      <c r="D10" s="114" t="s">
        <v>247</v>
      </c>
      <c r="E10" s="114" t="s">
        <v>248</v>
      </c>
      <c r="F10" s="114" t="s">
        <v>241</v>
      </c>
      <c r="G10" s="114" t="s">
        <v>249</v>
      </c>
      <c r="H10" s="114" t="s">
        <v>250</v>
      </c>
      <c r="I10" s="114" t="s">
        <v>242</v>
      </c>
      <c r="J10" s="114" t="s">
        <v>249</v>
      </c>
      <c r="K10" s="114" t="s">
        <v>250</v>
      </c>
      <c r="L10" s="114" t="s">
        <v>243</v>
      </c>
      <c r="M10" s="114" t="s">
        <v>249</v>
      </c>
      <c r="N10" s="114" t="s">
        <v>250</v>
      </c>
      <c r="O10" s="114" t="s">
        <v>251</v>
      </c>
      <c r="P10" s="97"/>
      <c r="Q10" s="115"/>
      <c r="R10" s="97"/>
      <c r="S10" s="97"/>
      <c r="T10" s="97"/>
      <c r="U10" s="97"/>
      <c r="V10" s="97"/>
      <c r="W10" s="97"/>
      <c r="X10" s="97"/>
      <c r="Y10" s="97"/>
      <c r="Z10" s="97"/>
    </row>
    <row r="11" ht="15.75" customHeight="1">
      <c r="A11" s="116" t="s">
        <v>2293</v>
      </c>
      <c r="B11" s="117"/>
      <c r="C11" s="117"/>
      <c r="D11" s="117"/>
      <c r="E11" s="117"/>
      <c r="F11" s="117"/>
      <c r="G11" s="117"/>
      <c r="H11" s="117"/>
      <c r="I11" s="117"/>
      <c r="J11" s="117"/>
      <c r="K11" s="117"/>
      <c r="L11" s="117"/>
      <c r="M11" s="117"/>
      <c r="N11" s="117"/>
      <c r="O11" s="117"/>
      <c r="P11" s="118"/>
      <c r="Q11" s="119"/>
      <c r="R11" s="97"/>
      <c r="S11" s="97"/>
      <c r="T11" s="97"/>
      <c r="U11" s="97"/>
      <c r="V11" s="97"/>
      <c r="W11" s="97"/>
      <c r="X11" s="97"/>
      <c r="Y11" s="97"/>
      <c r="Z11" s="97"/>
    </row>
    <row r="12" ht="120.75" customHeight="1" outlineLevel="1">
      <c r="A12" s="120" t="s">
        <v>2484</v>
      </c>
      <c r="B12" s="128" t="s">
        <v>2485</v>
      </c>
      <c r="C12" s="129" t="s">
        <v>2486</v>
      </c>
      <c r="D12" s="129" t="s">
        <v>2487</v>
      </c>
      <c r="E12" s="129" t="s">
        <v>2488</v>
      </c>
      <c r="F12" s="120" t="s">
        <v>227</v>
      </c>
      <c r="G12" s="122">
        <v>45914.0</v>
      </c>
      <c r="H12" s="120" t="s">
        <v>259</v>
      </c>
      <c r="I12" s="120" t="s">
        <v>227</v>
      </c>
      <c r="J12" s="130">
        <v>45954.0</v>
      </c>
      <c r="K12" s="120" t="s">
        <v>258</v>
      </c>
      <c r="L12" s="120" t="s">
        <v>230</v>
      </c>
      <c r="M12" s="130">
        <v>45974.0</v>
      </c>
      <c r="N12" s="120" t="s">
        <v>2489</v>
      </c>
      <c r="O12" s="123"/>
      <c r="P12" s="131"/>
      <c r="Q12" s="124"/>
      <c r="R12" s="132"/>
      <c r="S12" s="132"/>
      <c r="T12" s="132"/>
      <c r="U12" s="132"/>
      <c r="V12" s="132"/>
      <c r="W12" s="132"/>
      <c r="X12" s="132"/>
      <c r="Y12" s="132"/>
      <c r="Z12" s="132"/>
    </row>
    <row r="13" ht="12.75" customHeight="1" outlineLevel="1">
      <c r="A13" s="120" t="s">
        <v>2490</v>
      </c>
      <c r="B13" s="120" t="s">
        <v>2491</v>
      </c>
      <c r="C13" s="120" t="s">
        <v>2492</v>
      </c>
      <c r="D13" s="121" t="s">
        <v>2493</v>
      </c>
      <c r="E13" s="121" t="s">
        <v>2494</v>
      </c>
      <c r="F13" s="120" t="s">
        <v>227</v>
      </c>
      <c r="G13" s="122">
        <v>45914.0</v>
      </c>
      <c r="H13" s="120" t="s">
        <v>259</v>
      </c>
      <c r="I13" s="120" t="s">
        <v>227</v>
      </c>
      <c r="J13" s="130">
        <v>45954.0</v>
      </c>
      <c r="K13" s="120" t="s">
        <v>258</v>
      </c>
      <c r="L13" s="120" t="s">
        <v>227</v>
      </c>
      <c r="M13" s="130">
        <v>45974.0</v>
      </c>
      <c r="N13" s="120" t="s">
        <v>2489</v>
      </c>
      <c r="O13" s="123"/>
      <c r="P13" s="57"/>
      <c r="Q13" s="124"/>
      <c r="R13" s="10"/>
      <c r="S13" s="10"/>
      <c r="T13" s="10"/>
      <c r="U13" s="10"/>
      <c r="V13" s="10"/>
      <c r="W13" s="10"/>
      <c r="X13" s="10"/>
      <c r="Y13" s="10"/>
      <c r="Z13" s="10"/>
    </row>
    <row r="14" ht="12.75" customHeight="1" outlineLevel="1">
      <c r="A14" s="120" t="s">
        <v>2495</v>
      </c>
      <c r="B14" s="120" t="s">
        <v>2496</v>
      </c>
      <c r="C14" s="120" t="s">
        <v>2497</v>
      </c>
      <c r="D14" s="121" t="s">
        <v>2498</v>
      </c>
      <c r="E14" s="121" t="s">
        <v>2499</v>
      </c>
      <c r="F14" s="120" t="s">
        <v>227</v>
      </c>
      <c r="G14" s="122">
        <v>45914.0</v>
      </c>
      <c r="H14" s="120" t="s">
        <v>259</v>
      </c>
      <c r="I14" s="120" t="s">
        <v>227</v>
      </c>
      <c r="J14" s="130">
        <v>45954.0</v>
      </c>
      <c r="K14" s="120" t="s">
        <v>258</v>
      </c>
      <c r="L14" s="120" t="s">
        <v>227</v>
      </c>
      <c r="M14" s="130">
        <v>45974.0</v>
      </c>
      <c r="N14" s="120" t="s">
        <v>2489</v>
      </c>
      <c r="O14" s="123"/>
      <c r="P14" s="57"/>
      <c r="Q14" s="124"/>
      <c r="R14" s="10"/>
      <c r="S14" s="10"/>
      <c r="T14" s="10"/>
      <c r="U14" s="10"/>
      <c r="V14" s="10"/>
      <c r="W14" s="10"/>
      <c r="X14" s="10"/>
      <c r="Y14" s="10"/>
      <c r="Z14" s="10"/>
    </row>
    <row r="15" ht="12.75" customHeight="1" outlineLevel="1">
      <c r="A15" s="120" t="s">
        <v>2500</v>
      </c>
      <c r="B15" s="120" t="s">
        <v>2501</v>
      </c>
      <c r="C15" s="120" t="s">
        <v>2502</v>
      </c>
      <c r="D15" s="121" t="s">
        <v>2503</v>
      </c>
      <c r="E15" s="121" t="s">
        <v>2504</v>
      </c>
      <c r="F15" s="120" t="s">
        <v>227</v>
      </c>
      <c r="G15" s="122">
        <v>45914.0</v>
      </c>
      <c r="H15" s="120" t="s">
        <v>259</v>
      </c>
      <c r="I15" s="120" t="s">
        <v>227</v>
      </c>
      <c r="J15" s="130">
        <v>45954.0</v>
      </c>
      <c r="K15" s="120" t="s">
        <v>258</v>
      </c>
      <c r="L15" s="120" t="s">
        <v>227</v>
      </c>
      <c r="M15" s="130">
        <v>45974.0</v>
      </c>
      <c r="N15" s="120" t="s">
        <v>2489</v>
      </c>
      <c r="O15" s="123"/>
      <c r="P15" s="57"/>
      <c r="Q15" s="124"/>
      <c r="R15" s="10"/>
      <c r="S15" s="10"/>
      <c r="T15" s="10"/>
      <c r="U15" s="10"/>
      <c r="V15" s="10"/>
      <c r="W15" s="10"/>
      <c r="X15" s="10"/>
      <c r="Y15" s="10"/>
      <c r="Z15" s="10"/>
    </row>
    <row r="16" ht="12.75" customHeight="1" outlineLevel="1">
      <c r="A16" s="120" t="s">
        <v>2505</v>
      </c>
      <c r="B16" s="120" t="s">
        <v>2506</v>
      </c>
      <c r="C16" s="120" t="s">
        <v>2507</v>
      </c>
      <c r="D16" s="121" t="s">
        <v>2508</v>
      </c>
      <c r="E16" s="121" t="s">
        <v>2509</v>
      </c>
      <c r="F16" s="120" t="s">
        <v>227</v>
      </c>
      <c r="G16" s="122">
        <v>45914.0</v>
      </c>
      <c r="H16" s="120" t="s">
        <v>259</v>
      </c>
      <c r="I16" s="120" t="s">
        <v>227</v>
      </c>
      <c r="J16" s="130">
        <v>45954.0</v>
      </c>
      <c r="K16" s="120" t="s">
        <v>258</v>
      </c>
      <c r="L16" s="120" t="s">
        <v>227</v>
      </c>
      <c r="M16" s="130">
        <v>45974.0</v>
      </c>
      <c r="N16" s="120" t="s">
        <v>2489</v>
      </c>
      <c r="O16" s="123"/>
      <c r="P16" s="57"/>
      <c r="Q16" s="124"/>
      <c r="R16" s="10"/>
      <c r="S16" s="10"/>
      <c r="T16" s="10"/>
      <c r="U16" s="10"/>
      <c r="V16" s="10"/>
      <c r="W16" s="10"/>
      <c r="X16" s="10"/>
      <c r="Y16" s="10"/>
      <c r="Z16" s="10"/>
    </row>
    <row r="17" ht="12.75" customHeight="1" outlineLevel="1">
      <c r="A17" s="120" t="s">
        <v>2510</v>
      </c>
      <c r="B17" s="120" t="s">
        <v>2511</v>
      </c>
      <c r="C17" s="120" t="s">
        <v>2512</v>
      </c>
      <c r="D17" s="121" t="s">
        <v>2513</v>
      </c>
      <c r="E17" s="121" t="s">
        <v>685</v>
      </c>
      <c r="F17" s="120" t="s">
        <v>227</v>
      </c>
      <c r="G17" s="122">
        <v>45914.0</v>
      </c>
      <c r="H17" s="120" t="s">
        <v>259</v>
      </c>
      <c r="I17" s="120" t="s">
        <v>227</v>
      </c>
      <c r="J17" s="130">
        <v>45954.0</v>
      </c>
      <c r="K17" s="120" t="s">
        <v>258</v>
      </c>
      <c r="L17" s="120" t="s">
        <v>227</v>
      </c>
      <c r="M17" s="130">
        <v>45974.0</v>
      </c>
      <c r="N17" s="120" t="s">
        <v>2489</v>
      </c>
      <c r="O17" s="123"/>
      <c r="P17" s="57"/>
      <c r="Q17" s="124"/>
      <c r="R17" s="10"/>
      <c r="S17" s="10"/>
      <c r="T17" s="10"/>
      <c r="U17" s="10"/>
      <c r="V17" s="10"/>
      <c r="W17" s="10"/>
      <c r="X17" s="10"/>
      <c r="Y17" s="10"/>
      <c r="Z17" s="10"/>
    </row>
    <row r="18" ht="15.75" customHeight="1">
      <c r="A18" s="116" t="s">
        <v>2514</v>
      </c>
      <c r="B18" s="117"/>
      <c r="C18" s="117"/>
      <c r="D18" s="117"/>
      <c r="E18" s="117"/>
      <c r="F18" s="117"/>
      <c r="G18" s="117"/>
      <c r="H18" s="117"/>
      <c r="I18" s="117"/>
      <c r="J18" s="117"/>
      <c r="K18" s="117"/>
      <c r="L18" s="117"/>
      <c r="M18" s="117"/>
      <c r="N18" s="117"/>
      <c r="O18" s="117"/>
      <c r="P18" s="118"/>
      <c r="Q18" s="119"/>
      <c r="R18" s="97"/>
      <c r="S18" s="97"/>
      <c r="T18" s="97"/>
      <c r="U18" s="97"/>
      <c r="V18" s="97"/>
      <c r="W18" s="97"/>
      <c r="X18" s="97"/>
      <c r="Y18" s="97"/>
      <c r="Z18" s="97"/>
    </row>
    <row r="19" ht="12.75" customHeight="1" outlineLevel="1">
      <c r="A19" s="120" t="s">
        <v>2515</v>
      </c>
      <c r="B19" s="120" t="s">
        <v>2516</v>
      </c>
      <c r="C19" s="120" t="s">
        <v>2517</v>
      </c>
      <c r="D19" s="120" t="s">
        <v>2518</v>
      </c>
      <c r="E19" s="120" t="s">
        <v>2519</v>
      </c>
      <c r="F19" s="120" t="s">
        <v>227</v>
      </c>
      <c r="G19" s="122">
        <v>45914.0</v>
      </c>
      <c r="H19" s="120" t="s">
        <v>259</v>
      </c>
      <c r="I19" s="120" t="s">
        <v>227</v>
      </c>
      <c r="J19" s="130">
        <v>45954.0</v>
      </c>
      <c r="K19" s="120" t="s">
        <v>258</v>
      </c>
      <c r="L19" s="120" t="s">
        <v>227</v>
      </c>
      <c r="M19" s="130">
        <v>45974.0</v>
      </c>
      <c r="N19" s="120" t="s">
        <v>2489</v>
      </c>
      <c r="O19" s="123"/>
      <c r="P19" s="57"/>
      <c r="Q19" s="124"/>
      <c r="R19" s="10"/>
      <c r="S19" s="10"/>
      <c r="T19" s="10"/>
      <c r="U19" s="10"/>
      <c r="V19" s="10"/>
      <c r="W19" s="10"/>
      <c r="X19" s="10"/>
      <c r="Y19" s="10"/>
      <c r="Z19" s="10"/>
    </row>
    <row r="20" ht="12.75" customHeight="1" outlineLevel="1">
      <c r="A20" s="120" t="s">
        <v>2520</v>
      </c>
      <c r="B20" s="120" t="s">
        <v>2521</v>
      </c>
      <c r="C20" s="120" t="s">
        <v>2522</v>
      </c>
      <c r="D20" s="120" t="s">
        <v>2523</v>
      </c>
      <c r="E20" s="120" t="s">
        <v>2519</v>
      </c>
      <c r="F20" s="120" t="s">
        <v>227</v>
      </c>
      <c r="G20" s="122">
        <v>45914.0</v>
      </c>
      <c r="H20" s="120" t="s">
        <v>259</v>
      </c>
      <c r="I20" s="120" t="s">
        <v>227</v>
      </c>
      <c r="J20" s="130">
        <v>45954.0</v>
      </c>
      <c r="K20" s="120" t="s">
        <v>258</v>
      </c>
      <c r="L20" s="120" t="s">
        <v>227</v>
      </c>
      <c r="M20" s="130">
        <v>45974.0</v>
      </c>
      <c r="N20" s="120" t="s">
        <v>2489</v>
      </c>
      <c r="O20" s="79"/>
      <c r="P20" s="57"/>
      <c r="Q20" s="89"/>
      <c r="R20" s="10"/>
      <c r="S20" s="10"/>
      <c r="T20" s="10"/>
      <c r="U20" s="10"/>
      <c r="V20" s="10"/>
      <c r="W20" s="10"/>
      <c r="X20" s="10"/>
      <c r="Y20" s="10"/>
      <c r="Z20" s="10"/>
    </row>
    <row r="21" ht="12.75" customHeight="1" outlineLevel="1">
      <c r="A21" s="120" t="s">
        <v>2524</v>
      </c>
      <c r="B21" s="120" t="s">
        <v>2525</v>
      </c>
      <c r="C21" s="120" t="s">
        <v>2526</v>
      </c>
      <c r="D21" s="120" t="s">
        <v>2527</v>
      </c>
      <c r="E21" s="120" t="s">
        <v>2528</v>
      </c>
      <c r="F21" s="120" t="s">
        <v>227</v>
      </c>
      <c r="G21" s="122">
        <v>45914.0</v>
      </c>
      <c r="H21" s="120" t="s">
        <v>259</v>
      </c>
      <c r="I21" s="120" t="s">
        <v>227</v>
      </c>
      <c r="J21" s="130">
        <v>45954.0</v>
      </c>
      <c r="K21" s="120" t="s">
        <v>258</v>
      </c>
      <c r="L21" s="120" t="s">
        <v>227</v>
      </c>
      <c r="M21" s="130">
        <v>45974.0</v>
      </c>
      <c r="N21" s="120" t="s">
        <v>2489</v>
      </c>
      <c r="O21" s="79"/>
      <c r="P21" s="57"/>
      <c r="Q21" s="89"/>
      <c r="R21" s="10"/>
      <c r="S21" s="10"/>
      <c r="T21" s="10"/>
      <c r="U21" s="10"/>
      <c r="V21" s="10"/>
      <c r="W21" s="10"/>
      <c r="X21" s="10"/>
      <c r="Y21" s="10"/>
      <c r="Z21" s="10"/>
    </row>
    <row r="22" ht="12.75" customHeight="1" outlineLevel="1">
      <c r="A22" s="120" t="s">
        <v>2529</v>
      </c>
      <c r="B22" s="120" t="s">
        <v>2530</v>
      </c>
      <c r="C22" s="120" t="s">
        <v>2531</v>
      </c>
      <c r="D22" s="120" t="s">
        <v>2532</v>
      </c>
      <c r="E22" s="120" t="s">
        <v>2533</v>
      </c>
      <c r="F22" s="120" t="s">
        <v>227</v>
      </c>
      <c r="G22" s="122">
        <v>45914.0</v>
      </c>
      <c r="H22" s="120" t="s">
        <v>259</v>
      </c>
      <c r="I22" s="120" t="s">
        <v>227</v>
      </c>
      <c r="J22" s="130">
        <v>45954.0</v>
      </c>
      <c r="K22" s="120" t="s">
        <v>258</v>
      </c>
      <c r="L22" s="120" t="s">
        <v>227</v>
      </c>
      <c r="M22" s="130">
        <v>45974.0</v>
      </c>
      <c r="N22" s="120" t="s">
        <v>2489</v>
      </c>
      <c r="O22" s="79"/>
      <c r="P22" s="57"/>
      <c r="Q22" s="89"/>
      <c r="R22" s="10"/>
      <c r="S22" s="10"/>
      <c r="T22" s="10"/>
      <c r="U22" s="10"/>
      <c r="V22" s="10"/>
      <c r="W22" s="10"/>
      <c r="X22" s="10"/>
      <c r="Y22" s="10"/>
      <c r="Z22" s="10"/>
    </row>
    <row r="23" ht="12.75" customHeight="1">
      <c r="A23" s="116" t="s">
        <v>2534</v>
      </c>
      <c r="B23" s="117"/>
      <c r="C23" s="117"/>
      <c r="D23" s="117"/>
      <c r="E23" s="117"/>
      <c r="F23" s="117"/>
      <c r="G23" s="117"/>
      <c r="H23" s="117"/>
      <c r="I23" s="117"/>
      <c r="J23" s="117"/>
      <c r="K23" s="117"/>
      <c r="L23" s="117"/>
      <c r="M23" s="117"/>
      <c r="N23" s="117"/>
      <c r="O23" s="117"/>
      <c r="P23" s="57"/>
      <c r="Q23" s="89"/>
      <c r="R23" s="10"/>
      <c r="S23" s="10"/>
      <c r="T23" s="10"/>
      <c r="U23" s="10"/>
      <c r="V23" s="10"/>
      <c r="W23" s="10"/>
      <c r="X23" s="10"/>
      <c r="Y23" s="10"/>
      <c r="Z23" s="10"/>
    </row>
    <row r="24" ht="12.75" customHeight="1">
      <c r="A24" s="120" t="s">
        <v>2535</v>
      </c>
      <c r="B24" s="120" t="s">
        <v>2536</v>
      </c>
      <c r="C24" s="120" t="s">
        <v>2537</v>
      </c>
      <c r="D24" s="120" t="s">
        <v>2538</v>
      </c>
      <c r="E24" s="120" t="s">
        <v>2539</v>
      </c>
      <c r="F24" s="120" t="s">
        <v>227</v>
      </c>
      <c r="G24" s="122">
        <v>45914.0</v>
      </c>
      <c r="H24" s="120" t="s">
        <v>259</v>
      </c>
      <c r="I24" s="120" t="s">
        <v>227</v>
      </c>
      <c r="J24" s="130">
        <v>45954.0</v>
      </c>
      <c r="K24" s="120" t="s">
        <v>258</v>
      </c>
      <c r="L24" s="120" t="s">
        <v>227</v>
      </c>
      <c r="M24" s="130">
        <v>45974.0</v>
      </c>
      <c r="N24" s="120" t="s">
        <v>2489</v>
      </c>
      <c r="O24" s="123"/>
      <c r="P24" s="57"/>
      <c r="Q24" s="89"/>
      <c r="R24" s="10"/>
      <c r="S24" s="10"/>
      <c r="T24" s="10"/>
      <c r="U24" s="10"/>
      <c r="V24" s="10"/>
      <c r="W24" s="10"/>
      <c r="X24" s="10"/>
      <c r="Y24" s="10"/>
      <c r="Z24" s="10"/>
    </row>
    <row r="25" ht="12.75" customHeight="1">
      <c r="A25" s="120" t="s">
        <v>2540</v>
      </c>
      <c r="B25" s="120" t="s">
        <v>2541</v>
      </c>
      <c r="C25" s="120" t="s">
        <v>2542</v>
      </c>
      <c r="D25" s="120" t="s">
        <v>2543</v>
      </c>
      <c r="E25" s="120" t="s">
        <v>2544</v>
      </c>
      <c r="F25" s="120" t="s">
        <v>227</v>
      </c>
      <c r="G25" s="122">
        <v>45914.0</v>
      </c>
      <c r="H25" s="120" t="s">
        <v>259</v>
      </c>
      <c r="I25" s="120" t="s">
        <v>227</v>
      </c>
      <c r="J25" s="130">
        <v>45954.0</v>
      </c>
      <c r="K25" s="120" t="s">
        <v>258</v>
      </c>
      <c r="L25" s="120" t="s">
        <v>227</v>
      </c>
      <c r="M25" s="130">
        <v>45974.0</v>
      </c>
      <c r="N25" s="120" t="s">
        <v>2489</v>
      </c>
      <c r="O25" s="79"/>
      <c r="P25" s="57"/>
      <c r="Q25" s="89"/>
      <c r="R25" s="10"/>
      <c r="S25" s="10"/>
      <c r="T25" s="10"/>
      <c r="U25" s="10"/>
      <c r="V25" s="10"/>
      <c r="W25" s="10"/>
      <c r="X25" s="10"/>
      <c r="Y25" s="10"/>
      <c r="Z25" s="10"/>
    </row>
    <row r="26" ht="12.75" customHeight="1">
      <c r="A26" s="120" t="s">
        <v>2545</v>
      </c>
      <c r="B26" s="120" t="s">
        <v>2546</v>
      </c>
      <c r="C26" s="120" t="s">
        <v>2547</v>
      </c>
      <c r="D26" s="120" t="s">
        <v>2548</v>
      </c>
      <c r="E26" s="120" t="s">
        <v>2549</v>
      </c>
      <c r="F26" s="120" t="s">
        <v>227</v>
      </c>
      <c r="G26" s="122">
        <v>45914.0</v>
      </c>
      <c r="H26" s="120" t="s">
        <v>259</v>
      </c>
      <c r="I26" s="120" t="s">
        <v>227</v>
      </c>
      <c r="J26" s="130">
        <v>45954.0</v>
      </c>
      <c r="K26" s="120" t="s">
        <v>258</v>
      </c>
      <c r="L26" s="120" t="s">
        <v>227</v>
      </c>
      <c r="M26" s="130">
        <v>45974.0</v>
      </c>
      <c r="N26" s="120" t="s">
        <v>2489</v>
      </c>
      <c r="O26" s="79"/>
      <c r="P26" s="57"/>
      <c r="Q26" s="89"/>
      <c r="R26" s="10"/>
      <c r="S26" s="10"/>
      <c r="T26" s="10"/>
      <c r="U26" s="10"/>
      <c r="V26" s="10"/>
      <c r="W26" s="10"/>
      <c r="X26" s="10"/>
      <c r="Y26" s="10"/>
      <c r="Z26" s="10"/>
    </row>
    <row r="27" ht="12.75" customHeight="1">
      <c r="A27" s="120" t="s">
        <v>2550</v>
      </c>
      <c r="B27" s="120" t="s">
        <v>2551</v>
      </c>
      <c r="C27" s="120" t="s">
        <v>2552</v>
      </c>
      <c r="D27" s="120" t="s">
        <v>2553</v>
      </c>
      <c r="E27" s="120" t="s">
        <v>2554</v>
      </c>
      <c r="F27" s="120" t="s">
        <v>228</v>
      </c>
      <c r="G27" s="122">
        <v>45914.0</v>
      </c>
      <c r="H27" s="120" t="s">
        <v>259</v>
      </c>
      <c r="I27" s="120" t="s">
        <v>227</v>
      </c>
      <c r="J27" s="130">
        <v>45954.0</v>
      </c>
      <c r="K27" s="120" t="s">
        <v>258</v>
      </c>
      <c r="L27" s="120" t="s">
        <v>227</v>
      </c>
      <c r="M27" s="130">
        <v>45974.0</v>
      </c>
      <c r="N27" s="120" t="s">
        <v>2489</v>
      </c>
      <c r="O27" s="79"/>
      <c r="P27" s="57"/>
      <c r="Q27" s="89"/>
      <c r="R27" s="10"/>
      <c r="S27" s="10"/>
      <c r="T27" s="10"/>
      <c r="U27" s="10"/>
      <c r="V27" s="10"/>
      <c r="W27" s="10"/>
      <c r="X27" s="10"/>
      <c r="Y27" s="10"/>
      <c r="Z27" s="10"/>
    </row>
    <row r="28" ht="12.75" customHeight="1">
      <c r="A28" s="120" t="s">
        <v>2555</v>
      </c>
      <c r="B28" s="120" t="s">
        <v>2556</v>
      </c>
      <c r="C28" s="120" t="s">
        <v>2557</v>
      </c>
      <c r="D28" s="120" t="s">
        <v>911</v>
      </c>
      <c r="E28" s="120" t="s">
        <v>2558</v>
      </c>
      <c r="F28" s="120" t="s">
        <v>227</v>
      </c>
      <c r="G28" s="122">
        <v>45914.0</v>
      </c>
      <c r="H28" s="120" t="s">
        <v>259</v>
      </c>
      <c r="I28" s="120" t="s">
        <v>228</v>
      </c>
      <c r="J28" s="130">
        <v>45954.0</v>
      </c>
      <c r="K28" s="120" t="s">
        <v>258</v>
      </c>
      <c r="L28" s="120" t="s">
        <v>227</v>
      </c>
      <c r="M28" s="130">
        <v>45974.0</v>
      </c>
      <c r="N28" s="120" t="s">
        <v>2489</v>
      </c>
      <c r="O28" s="79"/>
      <c r="P28" s="57"/>
      <c r="Q28" s="89"/>
      <c r="R28" s="10"/>
      <c r="S28" s="10"/>
      <c r="T28" s="10"/>
      <c r="U28" s="10"/>
      <c r="V28" s="10"/>
      <c r="W28" s="10"/>
      <c r="X28" s="10"/>
      <c r="Y28" s="10"/>
      <c r="Z28" s="10"/>
    </row>
    <row r="29" ht="12.75" customHeight="1">
      <c r="A29" s="116" t="s">
        <v>2559</v>
      </c>
      <c r="B29" s="117"/>
      <c r="C29" s="117"/>
      <c r="D29" s="117"/>
      <c r="E29" s="117"/>
      <c r="F29" s="117"/>
      <c r="G29" s="117"/>
      <c r="H29" s="117"/>
      <c r="I29" s="117"/>
      <c r="J29" s="117"/>
      <c r="K29" s="117"/>
      <c r="L29" s="117"/>
      <c r="M29" s="117"/>
      <c r="N29" s="117"/>
      <c r="O29" s="117"/>
      <c r="P29" s="57"/>
      <c r="Q29" s="89"/>
      <c r="R29" s="10"/>
      <c r="S29" s="10"/>
      <c r="T29" s="10"/>
      <c r="U29" s="10"/>
      <c r="V29" s="10"/>
      <c r="W29" s="10"/>
      <c r="X29" s="10"/>
      <c r="Y29" s="10"/>
      <c r="Z29" s="10"/>
    </row>
    <row r="30" ht="12.75" customHeight="1">
      <c r="A30" s="120" t="s">
        <v>2560</v>
      </c>
      <c r="B30" s="120" t="s">
        <v>2561</v>
      </c>
      <c r="C30" s="120" t="s">
        <v>2562</v>
      </c>
      <c r="D30" s="120" t="s">
        <v>2563</v>
      </c>
      <c r="E30" s="120" t="s">
        <v>2564</v>
      </c>
      <c r="F30" s="120" t="s">
        <v>227</v>
      </c>
      <c r="G30" s="122">
        <v>45914.0</v>
      </c>
      <c r="H30" s="120" t="s">
        <v>259</v>
      </c>
      <c r="I30" s="120" t="s">
        <v>227</v>
      </c>
      <c r="J30" s="130">
        <v>45954.0</v>
      </c>
      <c r="K30" s="120" t="s">
        <v>258</v>
      </c>
      <c r="L30" s="120" t="s">
        <v>227</v>
      </c>
      <c r="M30" s="130">
        <v>45974.0</v>
      </c>
      <c r="N30" s="120" t="s">
        <v>2489</v>
      </c>
      <c r="O30" s="123"/>
      <c r="P30" s="57"/>
      <c r="Q30" s="89"/>
      <c r="R30" s="10"/>
      <c r="S30" s="10"/>
      <c r="T30" s="10"/>
      <c r="U30" s="10"/>
      <c r="V30" s="10"/>
      <c r="W30" s="10"/>
      <c r="X30" s="10"/>
      <c r="Y30" s="10"/>
      <c r="Z30" s="10"/>
    </row>
    <row r="31" ht="12.75" customHeight="1">
      <c r="A31" s="120" t="s">
        <v>2565</v>
      </c>
      <c r="B31" s="120" t="s">
        <v>2566</v>
      </c>
      <c r="C31" s="120" t="s">
        <v>2567</v>
      </c>
      <c r="D31" s="120" t="s">
        <v>2568</v>
      </c>
      <c r="E31" s="120" t="s">
        <v>2372</v>
      </c>
      <c r="F31" s="120" t="s">
        <v>227</v>
      </c>
      <c r="G31" s="122">
        <v>45914.0</v>
      </c>
      <c r="H31" s="120" t="s">
        <v>259</v>
      </c>
      <c r="I31" s="120" t="s">
        <v>227</v>
      </c>
      <c r="J31" s="130">
        <v>45954.0</v>
      </c>
      <c r="K31" s="120" t="s">
        <v>258</v>
      </c>
      <c r="L31" s="120" t="s">
        <v>227</v>
      </c>
      <c r="M31" s="130">
        <v>45974.0</v>
      </c>
      <c r="N31" s="120" t="s">
        <v>2489</v>
      </c>
      <c r="O31" s="79"/>
      <c r="P31" s="57"/>
      <c r="Q31" s="89"/>
      <c r="R31" s="10"/>
      <c r="S31" s="10"/>
      <c r="T31" s="10"/>
      <c r="U31" s="10"/>
      <c r="V31" s="10"/>
      <c r="W31" s="10"/>
      <c r="X31" s="10"/>
      <c r="Y31" s="10"/>
      <c r="Z31" s="10"/>
    </row>
    <row r="32" ht="12.75" customHeight="1">
      <c r="A32" s="120" t="s">
        <v>2569</v>
      </c>
      <c r="B32" s="120" t="s">
        <v>2570</v>
      </c>
      <c r="C32" s="120" t="s">
        <v>2571</v>
      </c>
      <c r="D32" s="120" t="s">
        <v>2572</v>
      </c>
      <c r="E32" s="120" t="s">
        <v>2573</v>
      </c>
      <c r="F32" s="120" t="s">
        <v>227</v>
      </c>
      <c r="G32" s="122">
        <v>45914.0</v>
      </c>
      <c r="H32" s="120" t="s">
        <v>259</v>
      </c>
      <c r="I32" s="120" t="s">
        <v>227</v>
      </c>
      <c r="J32" s="130">
        <v>45954.0</v>
      </c>
      <c r="K32" s="120" t="s">
        <v>258</v>
      </c>
      <c r="L32" s="120" t="s">
        <v>227</v>
      </c>
      <c r="M32" s="130">
        <v>45974.0</v>
      </c>
      <c r="N32" s="120" t="s">
        <v>2489</v>
      </c>
      <c r="O32" s="79"/>
      <c r="P32" s="57"/>
      <c r="Q32" s="89"/>
      <c r="R32" s="10"/>
      <c r="S32" s="10"/>
      <c r="T32" s="10"/>
      <c r="U32" s="10"/>
      <c r="V32" s="10"/>
      <c r="W32" s="10"/>
      <c r="X32" s="10"/>
      <c r="Y32" s="10"/>
      <c r="Z32" s="10"/>
    </row>
    <row r="33" ht="12.75" customHeight="1">
      <c r="A33" s="120" t="s">
        <v>2574</v>
      </c>
      <c r="B33" s="120" t="s">
        <v>2575</v>
      </c>
      <c r="C33" s="120" t="s">
        <v>2576</v>
      </c>
      <c r="D33" s="120" t="s">
        <v>2577</v>
      </c>
      <c r="E33" s="120" t="s">
        <v>1002</v>
      </c>
      <c r="F33" s="120" t="s">
        <v>227</v>
      </c>
      <c r="G33" s="122">
        <v>45914.0</v>
      </c>
      <c r="H33" s="120" t="s">
        <v>259</v>
      </c>
      <c r="I33" s="120" t="s">
        <v>227</v>
      </c>
      <c r="J33" s="130">
        <v>45954.0</v>
      </c>
      <c r="K33" s="120" t="s">
        <v>258</v>
      </c>
      <c r="L33" s="120" t="s">
        <v>227</v>
      </c>
      <c r="M33" s="130">
        <v>45974.0</v>
      </c>
      <c r="N33" s="120" t="s">
        <v>2489</v>
      </c>
      <c r="O33" s="79"/>
      <c r="P33" s="57"/>
      <c r="Q33" s="89"/>
      <c r="R33" s="10"/>
      <c r="S33" s="10"/>
      <c r="T33" s="10"/>
      <c r="U33" s="10"/>
      <c r="V33" s="10"/>
      <c r="W33" s="10"/>
      <c r="X33" s="10"/>
      <c r="Y33" s="10"/>
      <c r="Z33" s="10"/>
    </row>
    <row r="34" ht="12.75" customHeight="1">
      <c r="A34" s="116" t="s">
        <v>2578</v>
      </c>
      <c r="B34" s="117"/>
      <c r="C34" s="117"/>
      <c r="D34" s="117"/>
      <c r="E34" s="117"/>
      <c r="F34" s="117"/>
      <c r="G34" s="117"/>
      <c r="H34" s="117"/>
      <c r="I34" s="117"/>
      <c r="J34" s="117"/>
      <c r="K34" s="117"/>
      <c r="L34" s="117"/>
      <c r="M34" s="117"/>
      <c r="N34" s="117"/>
      <c r="O34" s="117"/>
      <c r="P34" s="57"/>
      <c r="Q34" s="89"/>
      <c r="R34" s="10"/>
      <c r="S34" s="10"/>
      <c r="T34" s="10"/>
      <c r="U34" s="10"/>
      <c r="V34" s="10"/>
      <c r="W34" s="10"/>
      <c r="X34" s="10"/>
      <c r="Y34" s="10"/>
      <c r="Z34" s="10"/>
    </row>
    <row r="35" ht="12.75" customHeight="1">
      <c r="A35" s="120" t="s">
        <v>2579</v>
      </c>
      <c r="B35" s="120" t="s">
        <v>2580</v>
      </c>
      <c r="C35" s="120" t="s">
        <v>2581</v>
      </c>
      <c r="D35" s="120" t="s">
        <v>2582</v>
      </c>
      <c r="E35" s="120" t="s">
        <v>2583</v>
      </c>
      <c r="F35" s="120" t="s">
        <v>228</v>
      </c>
      <c r="G35" s="122">
        <v>45914.0</v>
      </c>
      <c r="H35" s="120" t="s">
        <v>259</v>
      </c>
      <c r="I35" s="120" t="s">
        <v>227</v>
      </c>
      <c r="J35" s="130">
        <v>45954.0</v>
      </c>
      <c r="K35" s="120" t="s">
        <v>258</v>
      </c>
      <c r="L35" s="120" t="s">
        <v>227</v>
      </c>
      <c r="M35" s="130">
        <v>45974.0</v>
      </c>
      <c r="N35" s="120" t="s">
        <v>2489</v>
      </c>
      <c r="O35" s="123"/>
      <c r="P35" s="57"/>
      <c r="Q35" s="89"/>
      <c r="R35" s="10"/>
      <c r="S35" s="10"/>
      <c r="T35" s="10"/>
      <c r="U35" s="10"/>
      <c r="V35" s="10"/>
      <c r="W35" s="10"/>
      <c r="X35" s="10"/>
      <c r="Y35" s="10"/>
      <c r="Z35" s="10"/>
    </row>
    <row r="36" ht="12.75" customHeight="1">
      <c r="A36" s="120" t="s">
        <v>2584</v>
      </c>
      <c r="B36" s="120" t="s">
        <v>2585</v>
      </c>
      <c r="C36" s="120" t="s">
        <v>2586</v>
      </c>
      <c r="D36" s="120" t="s">
        <v>2587</v>
      </c>
      <c r="E36" s="120" t="s">
        <v>2588</v>
      </c>
      <c r="F36" s="120" t="s">
        <v>227</v>
      </c>
      <c r="G36" s="122">
        <v>45914.0</v>
      </c>
      <c r="H36" s="120" t="s">
        <v>259</v>
      </c>
      <c r="I36" s="120" t="s">
        <v>228</v>
      </c>
      <c r="J36" s="130">
        <v>45954.0</v>
      </c>
      <c r="K36" s="120" t="s">
        <v>258</v>
      </c>
      <c r="L36" s="120" t="s">
        <v>227</v>
      </c>
      <c r="M36" s="130">
        <v>45974.0</v>
      </c>
      <c r="N36" s="120" t="s">
        <v>2489</v>
      </c>
      <c r="O36" s="79"/>
      <c r="P36" s="57"/>
      <c r="Q36" s="89"/>
      <c r="R36" s="10"/>
      <c r="S36" s="10"/>
      <c r="T36" s="10"/>
      <c r="U36" s="10"/>
      <c r="V36" s="10"/>
      <c r="W36" s="10"/>
      <c r="X36" s="10"/>
      <c r="Y36" s="10"/>
      <c r="Z36" s="10"/>
    </row>
    <row r="37" ht="12.75" customHeight="1">
      <c r="A37" s="120" t="s">
        <v>2589</v>
      </c>
      <c r="B37" s="120" t="s">
        <v>2590</v>
      </c>
      <c r="C37" s="120" t="s">
        <v>2591</v>
      </c>
      <c r="D37" s="120" t="s">
        <v>2592</v>
      </c>
      <c r="E37" s="120" t="s">
        <v>2593</v>
      </c>
      <c r="F37" s="120" t="s">
        <v>227</v>
      </c>
      <c r="G37" s="122">
        <v>45914.0</v>
      </c>
      <c r="H37" s="120" t="s">
        <v>259</v>
      </c>
      <c r="I37" s="120" t="s">
        <v>227</v>
      </c>
      <c r="J37" s="130">
        <v>45954.0</v>
      </c>
      <c r="K37" s="120" t="s">
        <v>258</v>
      </c>
      <c r="L37" s="120" t="s">
        <v>227</v>
      </c>
      <c r="M37" s="130">
        <v>45974.0</v>
      </c>
      <c r="N37" s="120" t="s">
        <v>2489</v>
      </c>
      <c r="O37" s="79"/>
      <c r="P37" s="57"/>
      <c r="Q37" s="89"/>
      <c r="R37" s="10"/>
      <c r="S37" s="10"/>
      <c r="T37" s="10"/>
      <c r="U37" s="10"/>
      <c r="V37" s="10"/>
      <c r="W37" s="10"/>
      <c r="X37" s="10"/>
      <c r="Y37" s="10"/>
      <c r="Z37" s="10"/>
    </row>
    <row r="38" ht="12.75" customHeight="1">
      <c r="A38" s="116" t="s">
        <v>2594</v>
      </c>
      <c r="B38" s="117"/>
      <c r="C38" s="117"/>
      <c r="D38" s="117"/>
      <c r="E38" s="117"/>
      <c r="F38" s="117"/>
      <c r="G38" s="117"/>
      <c r="H38" s="117"/>
      <c r="I38" s="117"/>
      <c r="J38" s="117"/>
      <c r="K38" s="117"/>
      <c r="L38" s="117"/>
      <c r="M38" s="117"/>
      <c r="N38" s="117"/>
      <c r="O38" s="117"/>
      <c r="P38" s="57"/>
      <c r="Q38" s="89"/>
      <c r="R38" s="10"/>
      <c r="S38" s="10"/>
      <c r="T38" s="10"/>
      <c r="U38" s="10"/>
      <c r="V38" s="10"/>
      <c r="W38" s="10"/>
      <c r="X38" s="10"/>
      <c r="Y38" s="10"/>
      <c r="Z38" s="10"/>
    </row>
    <row r="39" ht="12.75" customHeight="1">
      <c r="A39" s="120" t="s">
        <v>2595</v>
      </c>
      <c r="B39" s="120" t="s">
        <v>2596</v>
      </c>
      <c r="C39" s="120" t="s">
        <v>2597</v>
      </c>
      <c r="D39" s="120" t="s">
        <v>2598</v>
      </c>
      <c r="E39" s="120" t="s">
        <v>2599</v>
      </c>
      <c r="F39" s="120" t="s">
        <v>227</v>
      </c>
      <c r="G39" s="122">
        <v>45914.0</v>
      </c>
      <c r="H39" s="120" t="s">
        <v>259</v>
      </c>
      <c r="I39" s="120" t="s">
        <v>227</v>
      </c>
      <c r="J39" s="130">
        <v>45954.0</v>
      </c>
      <c r="K39" s="120" t="s">
        <v>258</v>
      </c>
      <c r="L39" s="120" t="s">
        <v>227</v>
      </c>
      <c r="M39" s="130">
        <v>45974.0</v>
      </c>
      <c r="N39" s="120" t="s">
        <v>2489</v>
      </c>
      <c r="O39" s="123"/>
      <c r="P39" s="57"/>
      <c r="Q39" s="89"/>
      <c r="R39" s="10"/>
      <c r="S39" s="10"/>
      <c r="T39" s="10"/>
      <c r="U39" s="10"/>
      <c r="V39" s="10"/>
      <c r="W39" s="10"/>
      <c r="X39" s="10"/>
      <c r="Y39" s="10"/>
      <c r="Z39" s="10"/>
    </row>
    <row r="40" ht="12.75" customHeight="1">
      <c r="A40" s="120" t="s">
        <v>2600</v>
      </c>
      <c r="B40" s="120" t="s">
        <v>2601</v>
      </c>
      <c r="C40" s="120" t="s">
        <v>2602</v>
      </c>
      <c r="D40" s="120" t="s">
        <v>2603</v>
      </c>
      <c r="E40" s="120" t="s">
        <v>2599</v>
      </c>
      <c r="F40" s="120" t="s">
        <v>228</v>
      </c>
      <c r="G40" s="122">
        <v>45914.0</v>
      </c>
      <c r="H40" s="120" t="s">
        <v>259</v>
      </c>
      <c r="I40" s="120" t="s">
        <v>228</v>
      </c>
      <c r="J40" s="130">
        <v>45954.0</v>
      </c>
      <c r="K40" s="120" t="s">
        <v>258</v>
      </c>
      <c r="L40" s="120" t="s">
        <v>230</v>
      </c>
      <c r="M40" s="130">
        <v>45974.0</v>
      </c>
      <c r="N40" s="120" t="s">
        <v>2489</v>
      </c>
      <c r="O40" s="123"/>
      <c r="P40" s="57"/>
      <c r="Q40" s="89"/>
      <c r="R40" s="10"/>
      <c r="S40" s="10"/>
      <c r="T40" s="10"/>
      <c r="U40" s="10"/>
      <c r="V40" s="10"/>
      <c r="W40" s="10"/>
      <c r="X40" s="10"/>
      <c r="Y40" s="10"/>
      <c r="Z40" s="10"/>
    </row>
    <row r="41" ht="12.75" customHeight="1">
      <c r="A41" s="116" t="s">
        <v>2604</v>
      </c>
      <c r="B41" s="117"/>
      <c r="C41" s="117"/>
      <c r="D41" s="117"/>
      <c r="E41" s="117"/>
      <c r="F41" s="117"/>
      <c r="G41" s="117"/>
      <c r="H41" s="117"/>
      <c r="I41" s="117"/>
      <c r="J41" s="117"/>
      <c r="K41" s="117"/>
      <c r="L41" s="117"/>
      <c r="M41" s="117"/>
      <c r="N41" s="117"/>
      <c r="O41" s="117"/>
      <c r="P41" s="57"/>
      <c r="Q41" s="89"/>
      <c r="R41" s="10"/>
      <c r="S41" s="10"/>
      <c r="T41" s="10"/>
      <c r="U41" s="10"/>
      <c r="V41" s="10"/>
      <c r="W41" s="10"/>
      <c r="X41" s="10"/>
      <c r="Y41" s="10"/>
      <c r="Z41" s="10"/>
    </row>
    <row r="42" ht="12.75" customHeight="1">
      <c r="A42" s="120" t="s">
        <v>2605</v>
      </c>
      <c r="B42" s="120" t="s">
        <v>2606</v>
      </c>
      <c r="C42" s="120" t="s">
        <v>2607</v>
      </c>
      <c r="D42" s="120" t="s">
        <v>2608</v>
      </c>
      <c r="E42" s="120" t="s">
        <v>2609</v>
      </c>
      <c r="F42" s="120" t="s">
        <v>227</v>
      </c>
      <c r="G42" s="122">
        <v>45914.0</v>
      </c>
      <c r="H42" s="120" t="s">
        <v>259</v>
      </c>
      <c r="I42" s="120" t="s">
        <v>227</v>
      </c>
      <c r="J42" s="130">
        <v>45954.0</v>
      </c>
      <c r="K42" s="120" t="s">
        <v>258</v>
      </c>
      <c r="L42" s="120" t="s">
        <v>227</v>
      </c>
      <c r="M42" s="130">
        <v>45974.0</v>
      </c>
      <c r="N42" s="120" t="s">
        <v>2489</v>
      </c>
      <c r="O42" s="123"/>
      <c r="P42" s="57"/>
      <c r="Q42" s="89"/>
      <c r="R42" s="10"/>
      <c r="S42" s="10"/>
      <c r="T42" s="10"/>
      <c r="U42" s="10"/>
      <c r="V42" s="10"/>
      <c r="W42" s="10"/>
      <c r="X42" s="10"/>
      <c r="Y42" s="10"/>
      <c r="Z42" s="10"/>
    </row>
    <row r="43" ht="12.75" customHeight="1">
      <c r="A43" s="120" t="s">
        <v>2610</v>
      </c>
      <c r="B43" s="120" t="s">
        <v>2611</v>
      </c>
      <c r="C43" s="120" t="s">
        <v>2612</v>
      </c>
      <c r="D43" s="120" t="s">
        <v>2613</v>
      </c>
      <c r="E43" s="120" t="s">
        <v>2614</v>
      </c>
      <c r="F43" s="120" t="s">
        <v>228</v>
      </c>
      <c r="G43" s="122">
        <v>45914.0</v>
      </c>
      <c r="H43" s="120" t="s">
        <v>259</v>
      </c>
      <c r="I43" s="120" t="s">
        <v>227</v>
      </c>
      <c r="J43" s="130">
        <v>45954.0</v>
      </c>
      <c r="K43" s="120" t="s">
        <v>258</v>
      </c>
      <c r="L43" s="120" t="s">
        <v>227</v>
      </c>
      <c r="M43" s="130">
        <v>45974.0</v>
      </c>
      <c r="N43" s="120" t="s">
        <v>2489</v>
      </c>
      <c r="O43" s="79"/>
      <c r="P43" s="57"/>
      <c r="Q43" s="8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8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8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8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8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8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8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8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8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8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8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8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8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8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8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8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8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8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8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8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8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8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8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8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8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8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8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8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8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8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8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8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8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8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8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8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8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8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8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8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8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8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8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8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8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8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8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8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8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8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8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8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8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8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8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8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8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8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8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8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8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8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8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8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8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8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8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8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8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8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8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8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8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8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8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8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8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8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8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8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8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8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8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8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8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8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8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8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8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8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8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8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8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8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8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8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8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8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8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8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8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8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8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8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8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8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8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8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8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8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8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8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8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8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8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8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8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8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8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8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8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8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8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8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8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8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8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8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8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8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8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8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8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8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8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8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8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8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8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8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8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8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8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8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8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8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8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8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8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8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8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8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8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8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8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8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8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8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8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8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8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8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8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8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8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8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8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8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8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8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8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8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8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8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8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8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8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8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8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8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8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8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8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8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8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8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8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8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8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8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8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8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8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8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8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8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8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8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8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8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8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8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8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8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8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8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8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8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8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8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8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8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8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8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8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8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8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8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8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8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8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8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8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8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8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8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8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8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8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8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8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8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8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8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8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8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8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8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8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8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8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8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8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8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8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8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8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8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8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8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8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8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8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8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8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8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8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8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8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8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8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8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8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8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8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8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8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8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8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8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8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8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8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8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8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8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8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8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8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8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8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8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8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8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8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8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8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8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8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8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8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8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8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8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8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8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8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8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8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8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8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8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8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8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8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8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8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8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8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8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8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8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8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8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8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8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8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8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8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8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8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8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8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8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8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8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8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8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8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8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8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8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8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8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8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8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8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8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8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8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8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8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8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8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8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8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8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8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8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8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8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8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8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8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8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8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8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8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8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8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8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8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8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8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8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8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8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8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8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8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8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8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8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8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8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8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8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8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8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8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8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8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8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8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8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8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8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8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8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8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8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8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8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8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8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8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8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8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8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8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8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8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8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8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8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8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8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8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8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8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8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8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8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8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8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8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8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8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8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8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8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8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8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8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8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8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8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8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8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8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8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8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8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8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8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8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8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8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8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8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8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8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8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8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8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8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8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8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8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8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8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8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8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8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8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8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8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8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8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8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8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8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8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8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8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8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8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8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8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8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8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8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8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8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8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8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8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8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8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8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8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8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8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8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8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8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8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8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8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8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8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8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8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8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8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8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8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8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8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8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8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8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8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8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8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8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8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8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8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8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8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8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8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8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8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8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8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8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8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8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8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8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8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8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8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8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8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8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8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8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8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8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8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8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8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8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8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8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8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8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8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8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8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8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8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8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8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8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8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8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8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8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8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8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8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8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8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8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8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8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8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8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8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8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8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8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8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8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8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8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8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8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8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8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8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8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8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8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8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8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8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8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8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8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8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8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8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8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8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8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8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8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8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8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8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8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8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8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8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8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8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8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8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8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8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8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8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8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8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8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8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8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8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8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8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8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8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8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8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8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8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8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8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8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8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8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8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8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8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8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8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8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8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8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8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8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8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8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8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8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8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8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8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89"/>
      <c r="R686" s="10"/>
      <c r="S686" s="10"/>
      <c r="T686" s="10"/>
      <c r="U686" s="10"/>
      <c r="V686" s="10"/>
      <c r="W686" s="10"/>
      <c r="X686" s="10"/>
      <c r="Y686" s="10"/>
      <c r="Z686" s="10"/>
    </row>
  </sheetData>
  <mergeCells count="3">
    <mergeCell ref="B2:E2"/>
    <mergeCell ref="B3:E3"/>
    <mergeCell ref="B4:E4"/>
  </mergeCells>
  <dataValidations>
    <dataValidation type="list" allowBlank="1" showErrorMessage="1" sqref="G2:G3 J2:J3 M2:M3 G9 J9 M9 F12:F43 I12:I43 L12:L43">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9.13"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12.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89"/>
      <c r="R1" s="10"/>
      <c r="S1" s="10"/>
      <c r="T1" s="10"/>
      <c r="U1" s="10"/>
      <c r="V1" s="10"/>
      <c r="W1" s="10"/>
      <c r="X1" s="10"/>
      <c r="Y1" s="10"/>
      <c r="Z1" s="10"/>
    </row>
    <row r="2" ht="15.0" customHeight="1">
      <c r="A2" s="90" t="s">
        <v>236</v>
      </c>
      <c r="B2" s="91" t="s">
        <v>193</v>
      </c>
      <c r="C2" s="92"/>
      <c r="D2" s="92"/>
      <c r="E2" s="93"/>
      <c r="F2" s="94"/>
      <c r="G2" s="95"/>
      <c r="H2" s="40"/>
      <c r="I2" s="94"/>
      <c r="J2" s="95"/>
      <c r="K2" s="40"/>
      <c r="L2" s="94"/>
      <c r="M2" s="95"/>
      <c r="N2" s="40"/>
      <c r="O2" s="40"/>
      <c r="P2" s="40"/>
      <c r="Q2" s="96"/>
      <c r="R2" s="97" t="s">
        <v>227</v>
      </c>
      <c r="S2" s="97"/>
      <c r="T2" s="97"/>
      <c r="U2" s="97"/>
      <c r="V2" s="97"/>
      <c r="W2" s="97"/>
      <c r="X2" s="97"/>
      <c r="Y2" s="97"/>
      <c r="Z2" s="97"/>
    </row>
    <row r="3" ht="12.75" customHeight="1">
      <c r="A3" s="98" t="s">
        <v>237</v>
      </c>
      <c r="B3" s="99" t="s">
        <v>2615</v>
      </c>
      <c r="C3" s="5"/>
      <c r="D3" s="5"/>
      <c r="E3" s="100"/>
      <c r="F3" s="94"/>
      <c r="G3" s="95"/>
      <c r="H3" s="40"/>
      <c r="I3" s="94"/>
      <c r="J3" s="95"/>
      <c r="K3" s="40"/>
      <c r="L3" s="94"/>
      <c r="M3" s="95"/>
      <c r="N3" s="40"/>
      <c r="O3" s="40"/>
      <c r="P3" s="40"/>
      <c r="Q3" s="96"/>
      <c r="R3" s="97" t="s">
        <v>228</v>
      </c>
      <c r="S3" s="97"/>
      <c r="T3" s="97"/>
      <c r="U3" s="97"/>
      <c r="V3" s="97"/>
      <c r="W3" s="97"/>
      <c r="X3" s="97"/>
      <c r="Y3" s="97"/>
      <c r="Z3" s="97"/>
    </row>
    <row r="4" ht="18.0" customHeight="1">
      <c r="A4" s="98" t="s">
        <v>239</v>
      </c>
      <c r="B4" s="127">
        <f>COUNTA(A12:A872)-3</f>
        <v>20</v>
      </c>
      <c r="C4" s="5"/>
      <c r="D4" s="5"/>
      <c r="E4" s="100"/>
      <c r="F4" s="94"/>
      <c r="G4" s="95"/>
      <c r="H4" s="40"/>
      <c r="I4" s="94"/>
      <c r="J4" s="95"/>
      <c r="K4" s="40"/>
      <c r="L4" s="94"/>
      <c r="M4" s="95"/>
      <c r="N4" s="40"/>
      <c r="O4" s="40"/>
      <c r="P4" s="40"/>
      <c r="Q4" s="96"/>
      <c r="R4" s="97" t="s">
        <v>229</v>
      </c>
      <c r="S4" s="97"/>
      <c r="T4" s="97"/>
      <c r="U4" s="97"/>
      <c r="V4" s="97"/>
      <c r="W4" s="97"/>
      <c r="X4" s="97"/>
      <c r="Y4" s="97"/>
      <c r="Z4" s="97"/>
    </row>
    <row r="5" ht="19.5" customHeight="1">
      <c r="A5" s="101" t="s">
        <v>240</v>
      </c>
      <c r="B5" s="102" t="s">
        <v>227</v>
      </c>
      <c r="C5" s="102" t="s">
        <v>228</v>
      </c>
      <c r="D5" s="102" t="s">
        <v>229</v>
      </c>
      <c r="E5" s="103" t="s">
        <v>230</v>
      </c>
      <c r="F5" s="104"/>
      <c r="G5" s="104"/>
      <c r="H5" s="105"/>
      <c r="I5" s="104"/>
      <c r="J5" s="104"/>
      <c r="K5" s="105"/>
      <c r="L5" s="104"/>
      <c r="M5" s="104"/>
      <c r="N5" s="105"/>
      <c r="O5" s="105"/>
      <c r="P5" s="105"/>
      <c r="Q5" s="106"/>
      <c r="R5" s="97" t="s">
        <v>230</v>
      </c>
      <c r="S5" s="97"/>
      <c r="T5" s="97"/>
      <c r="U5" s="97"/>
      <c r="V5" s="97"/>
      <c r="W5" s="97"/>
      <c r="X5" s="97"/>
      <c r="Y5" s="97"/>
      <c r="Z5" s="97"/>
    </row>
    <row r="6" ht="15.0" customHeight="1">
      <c r="A6" s="101" t="s">
        <v>241</v>
      </c>
      <c r="B6" s="107">
        <f t="shared" ref="B6:E6" si="1">COUNTIF($F10:$F870,B5)</f>
        <v>15</v>
      </c>
      <c r="C6" s="107">
        <f t="shared" si="1"/>
        <v>4</v>
      </c>
      <c r="D6" s="107">
        <f t="shared" si="1"/>
        <v>0</v>
      </c>
      <c r="E6" s="108">
        <f t="shared" si="1"/>
        <v>1</v>
      </c>
      <c r="F6" s="109"/>
      <c r="G6" s="109"/>
      <c r="H6" s="105"/>
      <c r="I6" s="109"/>
      <c r="J6" s="109"/>
      <c r="K6" s="105"/>
      <c r="L6" s="109"/>
      <c r="M6" s="109"/>
      <c r="N6" s="105"/>
      <c r="O6" s="105"/>
      <c r="P6" s="105"/>
      <c r="Q6" s="106"/>
      <c r="R6" s="97"/>
      <c r="S6" s="97"/>
      <c r="T6" s="97"/>
      <c r="U6" s="97"/>
      <c r="V6" s="97"/>
      <c r="W6" s="97"/>
      <c r="X6" s="97"/>
      <c r="Y6" s="97"/>
      <c r="Z6" s="97"/>
    </row>
    <row r="7" ht="15.0" customHeight="1">
      <c r="A7" s="101" t="s">
        <v>242</v>
      </c>
      <c r="B7" s="107">
        <f>COUNTIF($I10:$I895,B5)</f>
        <v>15</v>
      </c>
      <c r="C7" s="107">
        <f>COUNTIF($I10:$FI895,C5)</f>
        <v>8</v>
      </c>
      <c r="D7" s="107">
        <f t="shared" ref="D7:E7" si="2">COUNTIF($F10:$F870,D5)</f>
        <v>0</v>
      </c>
      <c r="E7" s="108">
        <f t="shared" si="2"/>
        <v>1</v>
      </c>
      <c r="F7" s="109"/>
      <c r="G7" s="109"/>
      <c r="H7" s="105"/>
      <c r="I7" s="109"/>
      <c r="J7" s="109"/>
      <c r="K7" s="105"/>
      <c r="L7" s="109"/>
      <c r="M7" s="109"/>
      <c r="N7" s="105"/>
      <c r="O7" s="105"/>
      <c r="P7" s="105"/>
      <c r="Q7" s="106"/>
      <c r="R7" s="97"/>
      <c r="S7" s="97"/>
      <c r="T7" s="97"/>
      <c r="U7" s="97"/>
      <c r="V7" s="97"/>
      <c r="W7" s="97"/>
      <c r="X7" s="97"/>
      <c r="Y7" s="97"/>
      <c r="Z7" s="97"/>
    </row>
    <row r="8" ht="15.0" customHeight="1">
      <c r="A8" s="110" t="s">
        <v>243</v>
      </c>
      <c r="B8" s="111">
        <f t="shared" ref="B8:C8" si="3">COUNTIF($L10:$L895,B5)</f>
        <v>16</v>
      </c>
      <c r="C8" s="111">
        <f t="shared" si="3"/>
        <v>3</v>
      </c>
      <c r="D8" s="111">
        <f t="shared" ref="D8:E8" si="4">COUNTIF($F10:$F870,D5)</f>
        <v>0</v>
      </c>
      <c r="E8" s="112">
        <f t="shared" si="4"/>
        <v>1</v>
      </c>
      <c r="F8" s="109"/>
      <c r="G8" s="109"/>
      <c r="H8" s="105"/>
      <c r="I8" s="109"/>
      <c r="J8" s="109"/>
      <c r="K8" s="105"/>
      <c r="L8" s="109"/>
      <c r="M8" s="109"/>
      <c r="N8" s="105"/>
      <c r="O8" s="105"/>
      <c r="P8" s="105"/>
      <c r="Q8" s="106"/>
      <c r="R8" s="97"/>
      <c r="S8" s="97"/>
      <c r="T8" s="97"/>
      <c r="U8" s="97"/>
      <c r="V8" s="97"/>
      <c r="W8" s="97"/>
      <c r="X8" s="97"/>
      <c r="Y8" s="97"/>
      <c r="Z8" s="97"/>
    </row>
    <row r="9" ht="15.0" customHeight="1">
      <c r="A9" s="105"/>
      <c r="B9" s="105"/>
      <c r="C9" s="105"/>
      <c r="D9" s="105"/>
      <c r="E9" s="105"/>
      <c r="F9" s="88"/>
      <c r="G9" s="105"/>
      <c r="H9" s="105"/>
      <c r="I9" s="88"/>
      <c r="J9" s="105"/>
      <c r="K9" s="105"/>
      <c r="L9" s="88"/>
      <c r="M9" s="105"/>
      <c r="N9" s="105"/>
      <c r="O9" s="105"/>
      <c r="P9" s="105"/>
      <c r="Q9" s="106"/>
      <c r="R9" s="97"/>
      <c r="S9" s="97"/>
      <c r="T9" s="97"/>
      <c r="U9" s="97"/>
      <c r="V9" s="97"/>
      <c r="W9" s="97"/>
      <c r="X9" s="97"/>
      <c r="Y9" s="97"/>
      <c r="Z9" s="97"/>
    </row>
    <row r="10" ht="25.5" customHeight="1">
      <c r="A10" s="114" t="s">
        <v>244</v>
      </c>
      <c r="B10" s="114" t="s">
        <v>245</v>
      </c>
      <c r="C10" s="114" t="s">
        <v>246</v>
      </c>
      <c r="D10" s="114" t="s">
        <v>247</v>
      </c>
      <c r="E10" s="114" t="s">
        <v>248</v>
      </c>
      <c r="F10" s="114" t="s">
        <v>241</v>
      </c>
      <c r="G10" s="114" t="s">
        <v>249</v>
      </c>
      <c r="H10" s="114" t="s">
        <v>250</v>
      </c>
      <c r="I10" s="114" t="s">
        <v>242</v>
      </c>
      <c r="J10" s="114" t="s">
        <v>249</v>
      </c>
      <c r="K10" s="114" t="s">
        <v>250</v>
      </c>
      <c r="L10" s="114" t="s">
        <v>243</v>
      </c>
      <c r="M10" s="114" t="s">
        <v>249</v>
      </c>
      <c r="N10" s="114" t="s">
        <v>250</v>
      </c>
      <c r="O10" s="114" t="s">
        <v>251</v>
      </c>
      <c r="P10" s="97"/>
      <c r="Q10" s="115"/>
      <c r="R10" s="97"/>
      <c r="S10" s="97"/>
      <c r="T10" s="97"/>
      <c r="U10" s="97"/>
      <c r="V10" s="97"/>
      <c r="W10" s="97"/>
      <c r="X10" s="97"/>
      <c r="Y10" s="97"/>
      <c r="Z10" s="97"/>
    </row>
    <row r="11" ht="15.75" customHeight="1">
      <c r="A11" s="159" t="s">
        <v>199</v>
      </c>
      <c r="B11" s="160"/>
      <c r="C11" s="161"/>
      <c r="D11" s="161"/>
      <c r="E11" s="161"/>
      <c r="F11" s="161"/>
      <c r="G11" s="161"/>
      <c r="H11" s="161"/>
      <c r="I11" s="161"/>
      <c r="J11" s="161"/>
      <c r="K11" s="161"/>
      <c r="L11" s="161"/>
      <c r="M11" s="161"/>
      <c r="N11" s="161"/>
      <c r="O11" s="162"/>
      <c r="P11" s="97"/>
      <c r="Q11" s="119"/>
      <c r="R11" s="97"/>
      <c r="S11" s="97"/>
      <c r="T11" s="97"/>
      <c r="U11" s="97"/>
      <c r="V11" s="97"/>
      <c r="W11" s="97"/>
      <c r="X11" s="97"/>
      <c r="Y11" s="97"/>
      <c r="Z11" s="97"/>
    </row>
    <row r="12" ht="83.25" customHeight="1" outlineLevel="1">
      <c r="A12" s="120" t="s">
        <v>2616</v>
      </c>
      <c r="B12" s="128" t="s">
        <v>2617</v>
      </c>
      <c r="C12" s="129" t="s">
        <v>2618</v>
      </c>
      <c r="D12" s="129" t="s">
        <v>2619</v>
      </c>
      <c r="E12" s="129" t="s">
        <v>2620</v>
      </c>
      <c r="F12" s="120" t="s">
        <v>227</v>
      </c>
      <c r="G12" s="122">
        <v>45967.0</v>
      </c>
      <c r="H12" s="120" t="s">
        <v>749</v>
      </c>
      <c r="I12" s="120" t="s">
        <v>227</v>
      </c>
      <c r="J12" s="130">
        <v>45981.0</v>
      </c>
      <c r="K12" s="120" t="s">
        <v>749</v>
      </c>
      <c r="L12" s="120" t="s">
        <v>227</v>
      </c>
      <c r="M12" s="130">
        <v>46004.0</v>
      </c>
      <c r="N12" s="120" t="s">
        <v>2489</v>
      </c>
      <c r="O12" s="123"/>
      <c r="P12" s="132"/>
      <c r="Q12" s="124"/>
      <c r="R12" s="132"/>
      <c r="S12" s="132"/>
      <c r="T12" s="132"/>
      <c r="U12" s="132"/>
      <c r="V12" s="132"/>
      <c r="W12" s="132"/>
      <c r="X12" s="132"/>
      <c r="Y12" s="132"/>
      <c r="Z12" s="132"/>
    </row>
    <row r="13" ht="12.75" customHeight="1" outlineLevel="1">
      <c r="A13" s="120" t="s">
        <v>2621</v>
      </c>
      <c r="B13" s="120" t="s">
        <v>2622</v>
      </c>
      <c r="C13" s="120" t="s">
        <v>2623</v>
      </c>
      <c r="D13" s="121" t="s">
        <v>2624</v>
      </c>
      <c r="E13" s="121" t="s">
        <v>2625</v>
      </c>
      <c r="F13" s="120" t="s">
        <v>230</v>
      </c>
      <c r="G13" s="122">
        <v>45967.0</v>
      </c>
      <c r="H13" s="120" t="s">
        <v>749</v>
      </c>
      <c r="I13" s="120" t="s">
        <v>227</v>
      </c>
      <c r="J13" s="130">
        <v>45981.0</v>
      </c>
      <c r="K13" s="120" t="s">
        <v>749</v>
      </c>
      <c r="L13" s="120" t="s">
        <v>230</v>
      </c>
      <c r="M13" s="130">
        <v>46004.0</v>
      </c>
      <c r="N13" s="120" t="s">
        <v>2489</v>
      </c>
      <c r="O13" s="123"/>
      <c r="P13" s="10"/>
      <c r="Q13" s="124"/>
      <c r="R13" s="10"/>
      <c r="S13" s="10"/>
      <c r="T13" s="10"/>
      <c r="U13" s="10"/>
      <c r="V13" s="10"/>
      <c r="W13" s="10"/>
      <c r="X13" s="10"/>
      <c r="Y13" s="10"/>
      <c r="Z13" s="10"/>
    </row>
    <row r="14" ht="12.75" customHeight="1" outlineLevel="1">
      <c r="A14" s="120" t="s">
        <v>2626</v>
      </c>
      <c r="B14" s="120" t="s">
        <v>2627</v>
      </c>
      <c r="C14" s="120" t="s">
        <v>2628</v>
      </c>
      <c r="D14" s="121" t="s">
        <v>2629</v>
      </c>
      <c r="E14" s="121" t="s">
        <v>2630</v>
      </c>
      <c r="F14" s="120" t="s">
        <v>227</v>
      </c>
      <c r="G14" s="122">
        <v>45967.0</v>
      </c>
      <c r="H14" s="120" t="s">
        <v>749</v>
      </c>
      <c r="I14" s="120" t="s">
        <v>227</v>
      </c>
      <c r="J14" s="130">
        <v>45981.0</v>
      </c>
      <c r="K14" s="120" t="s">
        <v>749</v>
      </c>
      <c r="L14" s="120" t="s">
        <v>227</v>
      </c>
      <c r="M14" s="130">
        <v>46004.0</v>
      </c>
      <c r="N14" s="120" t="s">
        <v>2489</v>
      </c>
      <c r="O14" s="123"/>
      <c r="P14" s="10"/>
      <c r="Q14" s="124"/>
      <c r="R14" s="10"/>
      <c r="S14" s="10"/>
      <c r="T14" s="10"/>
      <c r="U14" s="10"/>
      <c r="V14" s="10"/>
      <c r="W14" s="10"/>
      <c r="X14" s="10"/>
      <c r="Y14" s="10"/>
      <c r="Z14" s="10"/>
    </row>
    <row r="15" ht="12.75" customHeight="1" outlineLevel="1">
      <c r="A15" s="120" t="s">
        <v>2631</v>
      </c>
      <c r="B15" s="163" t="s">
        <v>2632</v>
      </c>
      <c r="C15" s="164" t="s">
        <v>2633</v>
      </c>
      <c r="D15" s="165" t="s">
        <v>2634</v>
      </c>
      <c r="E15" s="165" t="s">
        <v>2620</v>
      </c>
      <c r="F15" s="120" t="s">
        <v>227</v>
      </c>
      <c r="G15" s="122">
        <v>45967.0</v>
      </c>
      <c r="H15" s="120" t="s">
        <v>749</v>
      </c>
      <c r="I15" s="120" t="s">
        <v>227</v>
      </c>
      <c r="J15" s="130">
        <v>45981.0</v>
      </c>
      <c r="K15" s="120" t="s">
        <v>749</v>
      </c>
      <c r="L15" s="120" t="s">
        <v>227</v>
      </c>
      <c r="M15" s="130">
        <v>46004.0</v>
      </c>
      <c r="N15" s="120" t="s">
        <v>2489</v>
      </c>
      <c r="O15" s="166"/>
      <c r="P15" s="10"/>
      <c r="Q15" s="124"/>
      <c r="R15" s="10"/>
      <c r="S15" s="10"/>
      <c r="T15" s="10"/>
      <c r="U15" s="10"/>
      <c r="V15" s="10"/>
      <c r="W15" s="10"/>
      <c r="X15" s="10"/>
      <c r="Y15" s="10"/>
      <c r="Z15" s="10"/>
    </row>
    <row r="16" ht="12.75" customHeight="1" outlineLevel="1">
      <c r="A16" s="120" t="s">
        <v>2635</v>
      </c>
      <c r="B16" s="163" t="s">
        <v>2636</v>
      </c>
      <c r="C16" s="164" t="s">
        <v>2637</v>
      </c>
      <c r="D16" s="165" t="s">
        <v>2638</v>
      </c>
      <c r="E16" s="165" t="s">
        <v>2620</v>
      </c>
      <c r="F16" s="120" t="s">
        <v>227</v>
      </c>
      <c r="G16" s="122">
        <v>45967.0</v>
      </c>
      <c r="H16" s="120" t="s">
        <v>749</v>
      </c>
      <c r="I16" s="120" t="s">
        <v>227</v>
      </c>
      <c r="J16" s="130">
        <v>45981.0</v>
      </c>
      <c r="K16" s="120" t="s">
        <v>749</v>
      </c>
      <c r="L16" s="120" t="s">
        <v>227</v>
      </c>
      <c r="M16" s="130">
        <v>46004.0</v>
      </c>
      <c r="N16" s="120" t="s">
        <v>2489</v>
      </c>
      <c r="O16" s="166"/>
      <c r="P16" s="10"/>
      <c r="Q16" s="124"/>
      <c r="R16" s="10"/>
      <c r="S16" s="10"/>
      <c r="T16" s="10"/>
      <c r="U16" s="10"/>
      <c r="V16" s="10"/>
      <c r="W16" s="10"/>
      <c r="X16" s="10"/>
      <c r="Y16" s="10"/>
      <c r="Z16" s="10"/>
    </row>
    <row r="17" ht="15.75" customHeight="1">
      <c r="A17" s="159" t="s">
        <v>2639</v>
      </c>
      <c r="B17" s="167"/>
      <c r="C17" s="168"/>
      <c r="D17" s="168"/>
      <c r="E17" s="168"/>
      <c r="F17" s="168"/>
      <c r="G17" s="168"/>
      <c r="H17" s="168"/>
      <c r="I17" s="168"/>
      <c r="J17" s="168"/>
      <c r="K17" s="168"/>
      <c r="L17" s="168"/>
      <c r="M17" s="168"/>
      <c r="N17" s="168"/>
      <c r="O17" s="169"/>
      <c r="P17" s="97"/>
      <c r="Q17" s="119"/>
      <c r="R17" s="97"/>
      <c r="S17" s="97"/>
      <c r="T17" s="97"/>
      <c r="U17" s="97"/>
      <c r="V17" s="97"/>
      <c r="W17" s="97"/>
      <c r="X17" s="97"/>
      <c r="Y17" s="97"/>
      <c r="Z17" s="97"/>
    </row>
    <row r="18" ht="83.25" customHeight="1" outlineLevel="1">
      <c r="A18" s="120" t="s">
        <v>2640</v>
      </c>
      <c r="B18" s="128" t="s">
        <v>2641</v>
      </c>
      <c r="C18" s="129" t="s">
        <v>2642</v>
      </c>
      <c r="D18" s="129" t="s">
        <v>2643</v>
      </c>
      <c r="E18" s="129" t="s">
        <v>2620</v>
      </c>
      <c r="F18" s="120" t="s">
        <v>227</v>
      </c>
      <c r="G18" s="122">
        <v>45967.0</v>
      </c>
      <c r="H18" s="120" t="s">
        <v>749</v>
      </c>
      <c r="I18" s="120" t="s">
        <v>228</v>
      </c>
      <c r="J18" s="130">
        <v>45981.0</v>
      </c>
      <c r="K18" s="120" t="s">
        <v>749</v>
      </c>
      <c r="L18" s="120" t="s">
        <v>228</v>
      </c>
      <c r="M18" s="130">
        <v>46004.0</v>
      </c>
      <c r="N18" s="120" t="s">
        <v>2489</v>
      </c>
      <c r="O18" s="123"/>
      <c r="P18" s="132"/>
      <c r="Q18" s="124"/>
      <c r="R18" s="132"/>
      <c r="S18" s="132"/>
      <c r="T18" s="132"/>
      <c r="U18" s="132"/>
      <c r="V18" s="132"/>
      <c r="W18" s="132"/>
      <c r="X18" s="132"/>
      <c r="Y18" s="132"/>
      <c r="Z18" s="132"/>
    </row>
    <row r="19" ht="12.75" customHeight="1" outlineLevel="1">
      <c r="A19" s="120" t="s">
        <v>2644</v>
      </c>
      <c r="B19" s="120" t="s">
        <v>2645</v>
      </c>
      <c r="C19" s="120" t="s">
        <v>2623</v>
      </c>
      <c r="D19" s="121" t="s">
        <v>2646</v>
      </c>
      <c r="E19" s="121" t="s">
        <v>2625</v>
      </c>
      <c r="F19" s="120" t="s">
        <v>228</v>
      </c>
      <c r="G19" s="122">
        <v>45967.0</v>
      </c>
      <c r="H19" s="120" t="s">
        <v>749</v>
      </c>
      <c r="I19" s="120" t="s">
        <v>227</v>
      </c>
      <c r="J19" s="130">
        <v>45981.0</v>
      </c>
      <c r="K19" s="120" t="s">
        <v>749</v>
      </c>
      <c r="L19" s="120" t="s">
        <v>227</v>
      </c>
      <c r="M19" s="130">
        <v>46004.0</v>
      </c>
      <c r="N19" s="120" t="s">
        <v>2489</v>
      </c>
      <c r="O19" s="123"/>
      <c r="P19" s="10"/>
      <c r="Q19" s="124"/>
      <c r="R19" s="10"/>
      <c r="S19" s="10"/>
      <c r="T19" s="10"/>
      <c r="U19" s="10"/>
      <c r="V19" s="10"/>
      <c r="W19" s="10"/>
      <c r="X19" s="10"/>
      <c r="Y19" s="10"/>
      <c r="Z19" s="10"/>
    </row>
    <row r="20" ht="12.75" customHeight="1" outlineLevel="1">
      <c r="A20" s="120" t="s">
        <v>2647</v>
      </c>
      <c r="B20" s="120" t="s">
        <v>2648</v>
      </c>
      <c r="C20" s="120" t="s">
        <v>2649</v>
      </c>
      <c r="D20" s="121" t="s">
        <v>2650</v>
      </c>
      <c r="E20" s="121" t="s">
        <v>2630</v>
      </c>
      <c r="F20" s="120" t="s">
        <v>227</v>
      </c>
      <c r="G20" s="122">
        <v>45967.0</v>
      </c>
      <c r="H20" s="120" t="s">
        <v>749</v>
      </c>
      <c r="I20" s="120" t="s">
        <v>227</v>
      </c>
      <c r="J20" s="130">
        <v>45981.0</v>
      </c>
      <c r="K20" s="120" t="s">
        <v>749</v>
      </c>
      <c r="L20" s="120" t="s">
        <v>227</v>
      </c>
      <c r="M20" s="130">
        <v>46004.0</v>
      </c>
      <c r="N20" s="120" t="s">
        <v>2489</v>
      </c>
      <c r="O20" s="123"/>
      <c r="P20" s="10"/>
      <c r="Q20" s="124"/>
      <c r="R20" s="10"/>
      <c r="S20" s="10"/>
      <c r="T20" s="10"/>
      <c r="U20" s="10"/>
      <c r="V20" s="10"/>
      <c r="W20" s="10"/>
      <c r="X20" s="10"/>
      <c r="Y20" s="10"/>
      <c r="Z20" s="10"/>
    </row>
    <row r="21" ht="12.75" customHeight="1" outlineLevel="1">
      <c r="A21" s="120" t="s">
        <v>2651</v>
      </c>
      <c r="B21" s="163" t="s">
        <v>2652</v>
      </c>
      <c r="C21" s="164" t="s">
        <v>2633</v>
      </c>
      <c r="D21" s="165" t="s">
        <v>2634</v>
      </c>
      <c r="E21" s="165" t="s">
        <v>2620</v>
      </c>
      <c r="F21" s="120" t="s">
        <v>227</v>
      </c>
      <c r="G21" s="122">
        <v>45967.0</v>
      </c>
      <c r="H21" s="120" t="s">
        <v>749</v>
      </c>
      <c r="I21" s="120" t="s">
        <v>227</v>
      </c>
      <c r="J21" s="130">
        <v>45981.0</v>
      </c>
      <c r="K21" s="120" t="s">
        <v>749</v>
      </c>
      <c r="L21" s="120" t="s">
        <v>227</v>
      </c>
      <c r="M21" s="130">
        <v>46004.0</v>
      </c>
      <c r="N21" s="120" t="s">
        <v>2489</v>
      </c>
      <c r="O21" s="166"/>
      <c r="P21" s="10"/>
      <c r="Q21" s="124"/>
      <c r="R21" s="10"/>
      <c r="S21" s="10"/>
      <c r="T21" s="10"/>
      <c r="U21" s="10"/>
      <c r="V21" s="10"/>
      <c r="W21" s="10"/>
      <c r="X21" s="10"/>
      <c r="Y21" s="10"/>
      <c r="Z21" s="10"/>
    </row>
    <row r="22" ht="12.75" customHeight="1" outlineLevel="1">
      <c r="A22" s="120" t="s">
        <v>2653</v>
      </c>
      <c r="B22" s="163" t="s">
        <v>2654</v>
      </c>
      <c r="C22" s="164" t="s">
        <v>2655</v>
      </c>
      <c r="D22" s="165" t="s">
        <v>2656</v>
      </c>
      <c r="E22" s="165" t="s">
        <v>2620</v>
      </c>
      <c r="F22" s="120" t="s">
        <v>227</v>
      </c>
      <c r="G22" s="122">
        <v>45967.0</v>
      </c>
      <c r="H22" s="120" t="s">
        <v>749</v>
      </c>
      <c r="I22" s="120" t="s">
        <v>228</v>
      </c>
      <c r="J22" s="130">
        <v>45981.0</v>
      </c>
      <c r="K22" s="120" t="s">
        <v>749</v>
      </c>
      <c r="L22" s="120" t="s">
        <v>228</v>
      </c>
      <c r="M22" s="130">
        <v>46004.0</v>
      </c>
      <c r="N22" s="120" t="s">
        <v>2489</v>
      </c>
      <c r="O22" s="166"/>
      <c r="P22" s="10"/>
      <c r="Q22" s="124"/>
      <c r="R22" s="10"/>
      <c r="S22" s="10"/>
      <c r="T22" s="10"/>
      <c r="U22" s="10"/>
      <c r="V22" s="10"/>
      <c r="W22" s="10"/>
      <c r="X22" s="10"/>
      <c r="Y22" s="10"/>
      <c r="Z22" s="10"/>
    </row>
    <row r="23" ht="15.75" customHeight="1">
      <c r="A23" s="159" t="s">
        <v>2657</v>
      </c>
      <c r="B23" s="167"/>
      <c r="C23" s="168"/>
      <c r="D23" s="168"/>
      <c r="E23" s="168"/>
      <c r="F23" s="168"/>
      <c r="G23" s="168"/>
      <c r="H23" s="168"/>
      <c r="I23" s="168"/>
      <c r="J23" s="168"/>
      <c r="K23" s="168"/>
      <c r="L23" s="168"/>
      <c r="M23" s="168"/>
      <c r="N23" s="168"/>
      <c r="O23" s="169"/>
      <c r="P23" s="97"/>
      <c r="Q23" s="119"/>
      <c r="R23" s="97"/>
      <c r="S23" s="97"/>
      <c r="T23" s="97"/>
      <c r="U23" s="97"/>
      <c r="V23" s="97"/>
      <c r="W23" s="97"/>
      <c r="X23" s="97"/>
      <c r="Y23" s="97"/>
      <c r="Z23" s="97"/>
    </row>
    <row r="24" ht="57.75" customHeight="1" outlineLevel="1">
      <c r="A24" s="120" t="s">
        <v>2658</v>
      </c>
      <c r="B24" s="128" t="s">
        <v>2659</v>
      </c>
      <c r="C24" s="129" t="s">
        <v>2660</v>
      </c>
      <c r="D24" s="129" t="s">
        <v>2661</v>
      </c>
      <c r="E24" s="129" t="s">
        <v>2620</v>
      </c>
      <c r="F24" s="120" t="s">
        <v>228</v>
      </c>
      <c r="G24" s="122">
        <v>45967.0</v>
      </c>
      <c r="H24" s="120" t="s">
        <v>749</v>
      </c>
      <c r="I24" s="120" t="s">
        <v>228</v>
      </c>
      <c r="J24" s="130">
        <v>45981.0</v>
      </c>
      <c r="K24" s="120" t="s">
        <v>749</v>
      </c>
      <c r="L24" s="120" t="s">
        <v>227</v>
      </c>
      <c r="M24" s="130">
        <v>46004.0</v>
      </c>
      <c r="N24" s="120" t="s">
        <v>2489</v>
      </c>
      <c r="O24" s="123"/>
      <c r="P24" s="132"/>
      <c r="Q24" s="124"/>
      <c r="R24" s="132"/>
      <c r="S24" s="132"/>
      <c r="T24" s="132"/>
      <c r="U24" s="132"/>
      <c r="V24" s="132"/>
      <c r="W24" s="132"/>
      <c r="X24" s="132"/>
      <c r="Y24" s="132"/>
      <c r="Z24" s="132"/>
    </row>
    <row r="25" ht="12.75" customHeight="1" outlineLevel="1">
      <c r="A25" s="120" t="s">
        <v>2662</v>
      </c>
      <c r="B25" s="128" t="s">
        <v>2663</v>
      </c>
      <c r="C25" s="129" t="s">
        <v>2664</v>
      </c>
      <c r="D25" s="129" t="s">
        <v>2665</v>
      </c>
      <c r="E25" s="121" t="s">
        <v>2625</v>
      </c>
      <c r="F25" s="120" t="s">
        <v>227</v>
      </c>
      <c r="G25" s="122">
        <v>45967.0</v>
      </c>
      <c r="H25" s="120" t="s">
        <v>749</v>
      </c>
      <c r="I25" s="120" t="s">
        <v>228</v>
      </c>
      <c r="J25" s="130">
        <v>45981.0</v>
      </c>
      <c r="K25" s="120" t="s">
        <v>749</v>
      </c>
      <c r="L25" s="120" t="s">
        <v>228</v>
      </c>
      <c r="M25" s="130">
        <v>46004.0</v>
      </c>
      <c r="N25" s="120" t="s">
        <v>2489</v>
      </c>
      <c r="O25" s="123"/>
      <c r="P25" s="10"/>
      <c r="Q25" s="124"/>
      <c r="R25" s="10"/>
      <c r="S25" s="10"/>
      <c r="T25" s="10"/>
      <c r="U25" s="10"/>
      <c r="V25" s="10"/>
      <c r="W25" s="10"/>
      <c r="X25" s="10"/>
      <c r="Y25" s="10"/>
      <c r="Z25" s="10"/>
    </row>
    <row r="26" ht="12.75" customHeight="1" outlineLevel="1">
      <c r="A26" s="120" t="s">
        <v>2666</v>
      </c>
      <c r="B26" s="128" t="s">
        <v>2667</v>
      </c>
      <c r="C26" s="120" t="s">
        <v>2649</v>
      </c>
      <c r="D26" s="121" t="s">
        <v>2668</v>
      </c>
      <c r="E26" s="121" t="s">
        <v>2630</v>
      </c>
      <c r="F26" s="120" t="s">
        <v>227</v>
      </c>
      <c r="G26" s="122">
        <v>45967.0</v>
      </c>
      <c r="H26" s="120" t="s">
        <v>749</v>
      </c>
      <c r="I26" s="120" t="s">
        <v>227</v>
      </c>
      <c r="J26" s="130">
        <v>45981.0</v>
      </c>
      <c r="K26" s="120" t="s">
        <v>749</v>
      </c>
      <c r="L26" s="120" t="s">
        <v>227</v>
      </c>
      <c r="M26" s="130">
        <v>46004.0</v>
      </c>
      <c r="N26" s="120" t="s">
        <v>2489</v>
      </c>
      <c r="O26" s="123"/>
      <c r="P26" s="10"/>
      <c r="Q26" s="124"/>
      <c r="R26" s="10"/>
      <c r="S26" s="10"/>
      <c r="T26" s="10"/>
      <c r="U26" s="10"/>
      <c r="V26" s="10"/>
      <c r="W26" s="10"/>
      <c r="X26" s="10"/>
      <c r="Y26" s="10"/>
      <c r="Z26" s="10"/>
    </row>
    <row r="27" ht="12.75" customHeight="1" outlineLevel="1">
      <c r="A27" s="120" t="s">
        <v>2669</v>
      </c>
      <c r="B27" s="128" t="s">
        <v>2670</v>
      </c>
      <c r="C27" s="164" t="s">
        <v>2633</v>
      </c>
      <c r="D27" s="165" t="s">
        <v>2634</v>
      </c>
      <c r="E27" s="165" t="s">
        <v>2620</v>
      </c>
      <c r="F27" s="120" t="s">
        <v>227</v>
      </c>
      <c r="G27" s="122">
        <v>45967.0</v>
      </c>
      <c r="H27" s="120" t="s">
        <v>749</v>
      </c>
      <c r="I27" s="120" t="s">
        <v>227</v>
      </c>
      <c r="J27" s="130">
        <v>45981.0</v>
      </c>
      <c r="K27" s="120" t="s">
        <v>749</v>
      </c>
      <c r="L27" s="120" t="s">
        <v>227</v>
      </c>
      <c r="M27" s="130">
        <v>46004.0</v>
      </c>
      <c r="N27" s="120" t="s">
        <v>2489</v>
      </c>
      <c r="O27" s="166"/>
      <c r="P27" s="10"/>
      <c r="Q27" s="124"/>
      <c r="R27" s="10"/>
      <c r="S27" s="10"/>
      <c r="T27" s="10"/>
      <c r="U27" s="10"/>
      <c r="V27" s="10"/>
      <c r="W27" s="10"/>
      <c r="X27" s="10"/>
      <c r="Y27" s="10"/>
      <c r="Z27" s="10"/>
    </row>
    <row r="28" ht="12.75" customHeight="1" outlineLevel="1">
      <c r="A28" s="120" t="s">
        <v>2671</v>
      </c>
      <c r="B28" s="163" t="s">
        <v>2672</v>
      </c>
      <c r="C28" s="164" t="s">
        <v>2673</v>
      </c>
      <c r="D28" s="165" t="s">
        <v>2674</v>
      </c>
      <c r="E28" s="165" t="s">
        <v>2620</v>
      </c>
      <c r="F28" s="120" t="s">
        <v>227</v>
      </c>
      <c r="G28" s="122">
        <v>45967.0</v>
      </c>
      <c r="H28" s="120" t="s">
        <v>749</v>
      </c>
      <c r="I28" s="120" t="s">
        <v>227</v>
      </c>
      <c r="J28" s="130">
        <v>45981.0</v>
      </c>
      <c r="K28" s="120" t="s">
        <v>749</v>
      </c>
      <c r="L28" s="120" t="s">
        <v>227</v>
      </c>
      <c r="M28" s="130">
        <v>46004.0</v>
      </c>
      <c r="N28" s="120" t="s">
        <v>2489</v>
      </c>
      <c r="O28" s="166"/>
      <c r="P28" s="10"/>
      <c r="Q28" s="124"/>
      <c r="R28" s="10"/>
      <c r="S28" s="10"/>
      <c r="T28" s="10"/>
      <c r="U28" s="10"/>
      <c r="V28" s="10"/>
      <c r="W28" s="10"/>
      <c r="X28" s="10"/>
      <c r="Y28" s="10"/>
      <c r="Z28" s="10"/>
    </row>
    <row r="29" ht="15.75" customHeight="1">
      <c r="A29" s="159" t="s">
        <v>192</v>
      </c>
      <c r="B29" s="167"/>
      <c r="C29" s="168"/>
      <c r="D29" s="168"/>
      <c r="E29" s="168"/>
      <c r="F29" s="168"/>
      <c r="G29" s="168"/>
      <c r="H29" s="168"/>
      <c r="I29" s="168"/>
      <c r="J29" s="168"/>
      <c r="K29" s="168"/>
      <c r="L29" s="168"/>
      <c r="M29" s="168"/>
      <c r="N29" s="168"/>
      <c r="O29" s="169"/>
      <c r="P29" s="97"/>
      <c r="Q29" s="119"/>
      <c r="R29" s="97"/>
      <c r="S29" s="97"/>
      <c r="T29" s="97"/>
      <c r="U29" s="97"/>
      <c r="V29" s="97"/>
      <c r="W29" s="97"/>
      <c r="X29" s="97"/>
      <c r="Y29" s="97"/>
      <c r="Z29" s="97"/>
    </row>
    <row r="30" ht="57.75" customHeight="1" outlineLevel="1">
      <c r="A30" s="120" t="s">
        <v>2675</v>
      </c>
      <c r="B30" s="128" t="s">
        <v>2676</v>
      </c>
      <c r="C30" s="129" t="s">
        <v>2677</v>
      </c>
      <c r="D30" s="129" t="s">
        <v>2678</v>
      </c>
      <c r="E30" s="129" t="s">
        <v>2679</v>
      </c>
      <c r="F30" s="120" t="s">
        <v>228</v>
      </c>
      <c r="G30" s="122">
        <v>45967.0</v>
      </c>
      <c r="H30" s="120" t="s">
        <v>749</v>
      </c>
      <c r="I30" s="120" t="s">
        <v>227</v>
      </c>
      <c r="J30" s="130">
        <v>45981.0</v>
      </c>
      <c r="K30" s="120" t="s">
        <v>749</v>
      </c>
      <c r="L30" s="120" t="s">
        <v>227</v>
      </c>
      <c r="M30" s="130">
        <v>46004.0</v>
      </c>
      <c r="N30" s="120" t="s">
        <v>2489</v>
      </c>
      <c r="O30" s="123"/>
      <c r="P30" s="132"/>
      <c r="Q30" s="124"/>
      <c r="R30" s="132"/>
      <c r="S30" s="132"/>
      <c r="T30" s="132"/>
      <c r="U30" s="132"/>
      <c r="V30" s="132"/>
      <c r="W30" s="132"/>
      <c r="X30" s="132"/>
      <c r="Y30" s="132"/>
      <c r="Z30" s="132"/>
    </row>
    <row r="31" ht="12.75" customHeight="1" outlineLevel="1">
      <c r="A31" s="120" t="s">
        <v>2680</v>
      </c>
      <c r="B31" s="128" t="s">
        <v>2681</v>
      </c>
      <c r="C31" s="129" t="s">
        <v>2682</v>
      </c>
      <c r="D31" s="129" t="s">
        <v>2683</v>
      </c>
      <c r="E31" s="121" t="s">
        <v>2684</v>
      </c>
      <c r="F31" s="120" t="s">
        <v>227</v>
      </c>
      <c r="G31" s="122">
        <v>45967.0</v>
      </c>
      <c r="H31" s="120" t="s">
        <v>749</v>
      </c>
      <c r="I31" s="120" t="s">
        <v>228</v>
      </c>
      <c r="J31" s="130">
        <v>45981.0</v>
      </c>
      <c r="K31" s="120" t="s">
        <v>749</v>
      </c>
      <c r="L31" s="120" t="s">
        <v>227</v>
      </c>
      <c r="M31" s="130">
        <v>46004.0</v>
      </c>
      <c r="N31" s="120" t="s">
        <v>2489</v>
      </c>
      <c r="O31" s="123"/>
      <c r="P31" s="10"/>
      <c r="Q31" s="124"/>
      <c r="R31" s="10"/>
      <c r="S31" s="10"/>
      <c r="T31" s="10"/>
      <c r="U31" s="10"/>
      <c r="V31" s="10"/>
      <c r="W31" s="10"/>
      <c r="X31" s="10"/>
      <c r="Y31" s="10"/>
      <c r="Z31" s="10"/>
    </row>
    <row r="32" ht="12.75" customHeight="1" outlineLevel="1">
      <c r="A32" s="120" t="s">
        <v>2685</v>
      </c>
      <c r="B32" s="128" t="s">
        <v>2686</v>
      </c>
      <c r="C32" s="120" t="s">
        <v>2687</v>
      </c>
      <c r="D32" s="121" t="s">
        <v>2688</v>
      </c>
      <c r="E32" s="121" t="s">
        <v>2689</v>
      </c>
      <c r="F32" s="120" t="s">
        <v>228</v>
      </c>
      <c r="G32" s="122">
        <v>45967.0</v>
      </c>
      <c r="H32" s="120" t="s">
        <v>749</v>
      </c>
      <c r="I32" s="120" t="s">
        <v>227</v>
      </c>
      <c r="J32" s="130">
        <v>45981.0</v>
      </c>
      <c r="K32" s="120" t="s">
        <v>749</v>
      </c>
      <c r="L32" s="120" t="s">
        <v>227</v>
      </c>
      <c r="M32" s="130">
        <v>46004.0</v>
      </c>
      <c r="N32" s="120" t="s">
        <v>2489</v>
      </c>
      <c r="O32" s="123"/>
      <c r="P32" s="10"/>
      <c r="Q32" s="124"/>
      <c r="R32" s="10"/>
      <c r="S32" s="10"/>
      <c r="T32" s="10"/>
      <c r="U32" s="10"/>
      <c r="V32" s="10"/>
      <c r="W32" s="10"/>
      <c r="X32" s="10"/>
      <c r="Y32" s="10"/>
      <c r="Z32" s="10"/>
    </row>
    <row r="33" ht="12.75" customHeight="1" outlineLevel="1">
      <c r="A33" s="120" t="s">
        <v>2690</v>
      </c>
      <c r="B33" s="128" t="s">
        <v>2691</v>
      </c>
      <c r="C33" s="164" t="s">
        <v>2692</v>
      </c>
      <c r="D33" s="165" t="s">
        <v>2693</v>
      </c>
      <c r="E33" s="165" t="s">
        <v>2689</v>
      </c>
      <c r="F33" s="120" t="s">
        <v>227</v>
      </c>
      <c r="G33" s="122">
        <v>45967.0</v>
      </c>
      <c r="H33" s="120" t="s">
        <v>749</v>
      </c>
      <c r="I33" s="120" t="s">
        <v>227</v>
      </c>
      <c r="J33" s="130">
        <v>45981.0</v>
      </c>
      <c r="K33" s="120" t="s">
        <v>749</v>
      </c>
      <c r="L33" s="120" t="s">
        <v>227</v>
      </c>
      <c r="M33" s="130">
        <v>46004.0</v>
      </c>
      <c r="N33" s="120" t="s">
        <v>2489</v>
      </c>
      <c r="O33" s="166"/>
      <c r="P33" s="10"/>
      <c r="Q33" s="124"/>
      <c r="R33" s="10"/>
      <c r="S33" s="10"/>
      <c r="T33" s="10"/>
      <c r="U33" s="10"/>
      <c r="V33" s="10"/>
      <c r="W33" s="10"/>
      <c r="X33" s="10"/>
      <c r="Y33" s="10"/>
      <c r="Z33" s="10"/>
    </row>
    <row r="34" ht="12.75" customHeight="1" outlineLevel="1">
      <c r="A34" s="120" t="s">
        <v>2694</v>
      </c>
      <c r="B34" s="128" t="s">
        <v>2695</v>
      </c>
      <c r="C34" s="164" t="s">
        <v>2696</v>
      </c>
      <c r="D34" s="165" t="s">
        <v>2697</v>
      </c>
      <c r="E34" s="165" t="s">
        <v>2620</v>
      </c>
      <c r="F34" s="120" t="s">
        <v>227</v>
      </c>
      <c r="G34" s="122">
        <v>45967.0</v>
      </c>
      <c r="H34" s="120" t="s">
        <v>749</v>
      </c>
      <c r="I34" s="120" t="s">
        <v>227</v>
      </c>
      <c r="J34" s="130">
        <v>45981.0</v>
      </c>
      <c r="K34" s="120" t="s">
        <v>749</v>
      </c>
      <c r="L34" s="120" t="s">
        <v>227</v>
      </c>
      <c r="M34" s="130">
        <v>46004.0</v>
      </c>
      <c r="N34" s="120" t="s">
        <v>2489</v>
      </c>
      <c r="O34" s="166"/>
      <c r="P34" s="10"/>
      <c r="Q34" s="124"/>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89"/>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89"/>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89"/>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89"/>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89"/>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89"/>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89"/>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89"/>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8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8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8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8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8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8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8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8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8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8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8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8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8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8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8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8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8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8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8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8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8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8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8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8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8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8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8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8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8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8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8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8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8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8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8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8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8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8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8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8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8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8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8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8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8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8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8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8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8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8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8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8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8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8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8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8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8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8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8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8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8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8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8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8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8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8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8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8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8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8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8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8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8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8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8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8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8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8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8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8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8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8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8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8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8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8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8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8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8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8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8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8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8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8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8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8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8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8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8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8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8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8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8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8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8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8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8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8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8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8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8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8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8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8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8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8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8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8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8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8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8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8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8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8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8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8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8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8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8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8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8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8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8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8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8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8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8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8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8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8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8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8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8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8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8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8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8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8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8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8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8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8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8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8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8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8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8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8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8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8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8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8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8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8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8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8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8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8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8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8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8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8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8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8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8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8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8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8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8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8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8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8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8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8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8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8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8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8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8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8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8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8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8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8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8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8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8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8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8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8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8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8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8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8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8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8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8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8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8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8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8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8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8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8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8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8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8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8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8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8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8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8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8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8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8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8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8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8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8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8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8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8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8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8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8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8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8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8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8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8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8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8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8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8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8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8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8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8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8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8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8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8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8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8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8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8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8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8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8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8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8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8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8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8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8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8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8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8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8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8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8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8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8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8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8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8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8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8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8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8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8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8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8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8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8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8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8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8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8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8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8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8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8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8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8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8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8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8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8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8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8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8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8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8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8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8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8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8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8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8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8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8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8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8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8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8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8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8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8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8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8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8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8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8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8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8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8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8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8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8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8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8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8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8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8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8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8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8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8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8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8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8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8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8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8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8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8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8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8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8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8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8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8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8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8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8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8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8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8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8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8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8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8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8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8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8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8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8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8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8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8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8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8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8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8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8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8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8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8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8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8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8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8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8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8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8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8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8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8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8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8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8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8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8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8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8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8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8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8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8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8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8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8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8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8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8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8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8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8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8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8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8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8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8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8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8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8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8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8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8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8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8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8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8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8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8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8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8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8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8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8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8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8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8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8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8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8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8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8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8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8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8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8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8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8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8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8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8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8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8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8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8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8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8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8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8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8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8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8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8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8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8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8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8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8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8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8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8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8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8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8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8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8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8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8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8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8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8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8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8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8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8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8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8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8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8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8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8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8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8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8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8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8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8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8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8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8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8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8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8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8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8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8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8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8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8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8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8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8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8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8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8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8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8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8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8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8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8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8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8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8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8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8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8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8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8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8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8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8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8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8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8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8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8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8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8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8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8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8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8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8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8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8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8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8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8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8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8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8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8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8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8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8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8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8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8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8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8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8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8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8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8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8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8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8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8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8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8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8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8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8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8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8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8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8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8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8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8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8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8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8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8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8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8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8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8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8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8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8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8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8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8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8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8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8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8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8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8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8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8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8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8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8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8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8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8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8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8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8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8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8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8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8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8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8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8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8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8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8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8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8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8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8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8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8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8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8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8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8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8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8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8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8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8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8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8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8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8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8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8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8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8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8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8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8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8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8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8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8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8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8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8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8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8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8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8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8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8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8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8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8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8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8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8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8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8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8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8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8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8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8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8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8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8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8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8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8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8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8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8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8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8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8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8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8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8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8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8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8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8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8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8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8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8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8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8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8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8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8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8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8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8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8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8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8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8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8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8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8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8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8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8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8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8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8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8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8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8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8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8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8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8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8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8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8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8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8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8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8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8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8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8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8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8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8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8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8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8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8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8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8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8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8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8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8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8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8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8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8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8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8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8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8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8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8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8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8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8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8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8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8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8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8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8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8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8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8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8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8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8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8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8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8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8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8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8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8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8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8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8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8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8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8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8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8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8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8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8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8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8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8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8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8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8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8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8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8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8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8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8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8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8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8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8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8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8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8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8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8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8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8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8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8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8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8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8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8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8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8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8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8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8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8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8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8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8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8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8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8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8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89"/>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89"/>
      <c r="R874" s="10"/>
      <c r="S874" s="10"/>
      <c r="T874" s="10"/>
      <c r="U874" s="10"/>
      <c r="V874" s="10"/>
      <c r="W874" s="10"/>
      <c r="X874" s="10"/>
      <c r="Y874" s="10"/>
      <c r="Z874" s="10"/>
    </row>
  </sheetData>
  <mergeCells count="3">
    <mergeCell ref="B2:E2"/>
    <mergeCell ref="B3:E3"/>
    <mergeCell ref="B4:E4"/>
  </mergeCells>
  <dataValidations>
    <dataValidation type="list" allowBlank="1" showErrorMessage="1" sqref="G2:G3 J2:J3 M2:M3 G9 J9 M9 F12:F34 I12:I34 L12:L34">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9.13" outlineLevel="1"/>
    <col customWidth="1" min="9" max="9" width="9.38"/>
    <col customWidth="1" min="10" max="10" width="10.63" outlineLevel="1"/>
    <col customWidth="1" min="11" max="11" width="13.0" outlineLevel="1"/>
    <col customWidth="1" min="12" max="12" width="9.38"/>
    <col customWidth="1" min="13" max="13" width="10.63" outlineLevel="1"/>
    <col customWidth="1" min="14" max="14" width="11.75"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89"/>
      <c r="R1" s="10"/>
      <c r="S1" s="10"/>
      <c r="T1" s="10"/>
      <c r="U1" s="10"/>
      <c r="V1" s="10"/>
      <c r="W1" s="10"/>
      <c r="X1" s="10"/>
      <c r="Y1" s="10"/>
      <c r="Z1" s="10"/>
    </row>
    <row r="2" ht="15.0" customHeight="1">
      <c r="A2" s="90" t="s">
        <v>236</v>
      </c>
      <c r="B2" s="91" t="s">
        <v>190</v>
      </c>
      <c r="C2" s="92"/>
      <c r="D2" s="92"/>
      <c r="E2" s="93"/>
      <c r="F2" s="94"/>
      <c r="G2" s="95"/>
      <c r="H2" s="40"/>
      <c r="I2" s="94"/>
      <c r="J2" s="95"/>
      <c r="K2" s="40"/>
      <c r="L2" s="94"/>
      <c r="M2" s="95"/>
      <c r="N2" s="40"/>
      <c r="O2" s="40"/>
      <c r="P2" s="40"/>
      <c r="Q2" s="96"/>
      <c r="R2" s="97" t="s">
        <v>227</v>
      </c>
      <c r="S2" s="97"/>
      <c r="T2" s="97"/>
      <c r="U2" s="97"/>
      <c r="V2" s="97"/>
      <c r="W2" s="97"/>
      <c r="X2" s="97"/>
      <c r="Y2" s="97"/>
      <c r="Z2" s="97"/>
    </row>
    <row r="3" ht="12.75" customHeight="1">
      <c r="A3" s="98" t="s">
        <v>237</v>
      </c>
      <c r="B3" s="99" t="s">
        <v>2698</v>
      </c>
      <c r="C3" s="5"/>
      <c r="D3" s="5"/>
      <c r="E3" s="100"/>
      <c r="F3" s="94"/>
      <c r="G3" s="95"/>
      <c r="H3" s="40"/>
      <c r="I3" s="94"/>
      <c r="J3" s="95"/>
      <c r="K3" s="40"/>
      <c r="L3" s="94"/>
      <c r="M3" s="95"/>
      <c r="N3" s="40"/>
      <c r="O3" s="40"/>
      <c r="P3" s="40"/>
      <c r="Q3" s="96"/>
      <c r="R3" s="97" t="s">
        <v>228</v>
      </c>
      <c r="S3" s="97"/>
      <c r="T3" s="97"/>
      <c r="U3" s="97"/>
      <c r="V3" s="97"/>
      <c r="W3" s="97"/>
      <c r="X3" s="97"/>
      <c r="Y3" s="97"/>
      <c r="Z3" s="97"/>
    </row>
    <row r="4" ht="18.0" customHeight="1">
      <c r="A4" s="98" t="s">
        <v>239</v>
      </c>
      <c r="B4" s="127">
        <f>COUNTA(A12:A860)-1</f>
        <v>10</v>
      </c>
      <c r="C4" s="5"/>
      <c r="D4" s="5"/>
      <c r="E4" s="100"/>
      <c r="F4" s="94"/>
      <c r="G4" s="95"/>
      <c r="H4" s="40"/>
      <c r="I4" s="94"/>
      <c r="J4" s="95"/>
      <c r="K4" s="40"/>
      <c r="L4" s="94"/>
      <c r="M4" s="95"/>
      <c r="N4" s="40"/>
      <c r="O4" s="40"/>
      <c r="P4" s="40"/>
      <c r="Q4" s="96"/>
      <c r="R4" s="97" t="s">
        <v>229</v>
      </c>
      <c r="S4" s="97"/>
      <c r="T4" s="97"/>
      <c r="U4" s="97"/>
      <c r="V4" s="97"/>
      <c r="W4" s="97"/>
      <c r="X4" s="97"/>
      <c r="Y4" s="97"/>
      <c r="Z4" s="97"/>
    </row>
    <row r="5" ht="19.5" customHeight="1">
      <c r="A5" s="101" t="s">
        <v>240</v>
      </c>
      <c r="B5" s="102" t="s">
        <v>227</v>
      </c>
      <c r="C5" s="102" t="s">
        <v>228</v>
      </c>
      <c r="D5" s="102" t="s">
        <v>229</v>
      </c>
      <c r="E5" s="103" t="s">
        <v>230</v>
      </c>
      <c r="F5" s="104"/>
      <c r="G5" s="104"/>
      <c r="H5" s="105"/>
      <c r="I5" s="104"/>
      <c r="J5" s="104"/>
      <c r="K5" s="105"/>
      <c r="L5" s="104"/>
      <c r="M5" s="104"/>
      <c r="N5" s="105"/>
      <c r="O5" s="105"/>
      <c r="P5" s="105"/>
      <c r="Q5" s="106"/>
      <c r="R5" s="97" t="s">
        <v>230</v>
      </c>
      <c r="S5" s="97"/>
      <c r="T5" s="97"/>
      <c r="U5" s="97"/>
      <c r="V5" s="97"/>
      <c r="W5" s="97"/>
      <c r="X5" s="97"/>
      <c r="Y5" s="97"/>
      <c r="Z5" s="97"/>
    </row>
    <row r="6" ht="15.0" customHeight="1">
      <c r="A6" s="101" t="s">
        <v>241</v>
      </c>
      <c r="B6" s="107">
        <f t="shared" ref="B6:E6" si="1">COUNTIF($F10:$F858,B5)</f>
        <v>7</v>
      </c>
      <c r="C6" s="107">
        <f t="shared" si="1"/>
        <v>3</v>
      </c>
      <c r="D6" s="107">
        <f t="shared" si="1"/>
        <v>0</v>
      </c>
      <c r="E6" s="108">
        <f t="shared" si="1"/>
        <v>0</v>
      </c>
      <c r="F6" s="109"/>
      <c r="G6" s="109"/>
      <c r="H6" s="105"/>
      <c r="I6" s="109"/>
      <c r="J6" s="109"/>
      <c r="K6" s="105"/>
      <c r="L6" s="109"/>
      <c r="M6" s="109"/>
      <c r="N6" s="105"/>
      <c r="O6" s="105"/>
      <c r="P6" s="105"/>
      <c r="Q6" s="106"/>
      <c r="R6" s="97"/>
      <c r="S6" s="97"/>
      <c r="T6" s="97"/>
      <c r="U6" s="97"/>
      <c r="V6" s="97"/>
      <c r="W6" s="97"/>
      <c r="X6" s="97"/>
      <c r="Y6" s="97"/>
      <c r="Z6" s="97"/>
    </row>
    <row r="7" ht="15.0" customHeight="1">
      <c r="A7" s="101" t="s">
        <v>242</v>
      </c>
      <c r="B7" s="107">
        <f>COUNTIF($I10:$I895,B5)</f>
        <v>8</v>
      </c>
      <c r="C7" s="107">
        <f>COUNTIF($I10:$FI895,C5)</f>
        <v>2</v>
      </c>
      <c r="D7" s="107">
        <f t="shared" ref="D7:E7" si="2">COUNTIF($F10:$F858,D5)</f>
        <v>0</v>
      </c>
      <c r="E7" s="108">
        <f t="shared" si="2"/>
        <v>0</v>
      </c>
      <c r="F7" s="109"/>
      <c r="G7" s="109"/>
      <c r="H7" s="105"/>
      <c r="I7" s="109"/>
      <c r="J7" s="109"/>
      <c r="K7" s="105"/>
      <c r="L7" s="109"/>
      <c r="M7" s="109"/>
      <c r="N7" s="105"/>
      <c r="O7" s="105"/>
      <c r="P7" s="105"/>
      <c r="Q7" s="106"/>
      <c r="R7" s="97"/>
      <c r="S7" s="97"/>
      <c r="T7" s="97"/>
      <c r="U7" s="97"/>
      <c r="V7" s="97"/>
      <c r="W7" s="97"/>
      <c r="X7" s="97"/>
      <c r="Y7" s="97"/>
      <c r="Z7" s="97"/>
    </row>
    <row r="8" ht="15.0" customHeight="1">
      <c r="A8" s="110" t="s">
        <v>243</v>
      </c>
      <c r="B8" s="111">
        <f t="shared" ref="B8:C8" si="3">COUNTIF($L10:$L895,B5)</f>
        <v>8</v>
      </c>
      <c r="C8" s="111">
        <f t="shared" si="3"/>
        <v>0</v>
      </c>
      <c r="D8" s="111">
        <f t="shared" ref="D8:E8" si="4">COUNTIF($F10:$F858,D5)</f>
        <v>0</v>
      </c>
      <c r="E8" s="112">
        <f t="shared" si="4"/>
        <v>0</v>
      </c>
      <c r="F8" s="109"/>
      <c r="G8" s="109"/>
      <c r="H8" s="105"/>
      <c r="I8" s="109"/>
      <c r="J8" s="109"/>
      <c r="K8" s="105"/>
      <c r="L8" s="109"/>
      <c r="M8" s="109"/>
      <c r="N8" s="105"/>
      <c r="O8" s="105"/>
      <c r="P8" s="105"/>
      <c r="Q8" s="106"/>
      <c r="R8" s="97"/>
      <c r="S8" s="97"/>
      <c r="T8" s="97"/>
      <c r="U8" s="97"/>
      <c r="V8" s="97"/>
      <c r="W8" s="97"/>
      <c r="X8" s="97"/>
      <c r="Y8" s="97"/>
      <c r="Z8" s="97"/>
    </row>
    <row r="9" ht="15.0" customHeight="1">
      <c r="A9" s="105"/>
      <c r="B9" s="105"/>
      <c r="C9" s="105"/>
      <c r="D9" s="105"/>
      <c r="E9" s="105"/>
      <c r="F9" s="88"/>
      <c r="G9" s="105"/>
      <c r="H9" s="105"/>
      <c r="I9" s="88"/>
      <c r="J9" s="105"/>
      <c r="K9" s="105"/>
      <c r="L9" s="88"/>
      <c r="M9" s="105"/>
      <c r="N9" s="105"/>
      <c r="O9" s="105"/>
      <c r="P9" s="105"/>
      <c r="Q9" s="106"/>
      <c r="R9" s="97"/>
      <c r="S9" s="97"/>
      <c r="T9" s="97"/>
      <c r="U9" s="97"/>
      <c r="V9" s="97"/>
      <c r="W9" s="97"/>
      <c r="X9" s="97"/>
      <c r="Y9" s="97"/>
      <c r="Z9" s="97"/>
    </row>
    <row r="10" ht="25.5" customHeight="1">
      <c r="A10" s="114" t="s">
        <v>244</v>
      </c>
      <c r="B10" s="114" t="s">
        <v>245</v>
      </c>
      <c r="C10" s="114" t="s">
        <v>246</v>
      </c>
      <c r="D10" s="114" t="s">
        <v>247</v>
      </c>
      <c r="E10" s="114" t="s">
        <v>248</v>
      </c>
      <c r="F10" s="114" t="s">
        <v>241</v>
      </c>
      <c r="G10" s="114" t="s">
        <v>249</v>
      </c>
      <c r="H10" s="114" t="s">
        <v>250</v>
      </c>
      <c r="I10" s="114" t="s">
        <v>242</v>
      </c>
      <c r="J10" s="114" t="s">
        <v>249</v>
      </c>
      <c r="K10" s="114" t="s">
        <v>250</v>
      </c>
      <c r="L10" s="114" t="s">
        <v>243</v>
      </c>
      <c r="M10" s="114" t="s">
        <v>249</v>
      </c>
      <c r="N10" s="114" t="s">
        <v>250</v>
      </c>
      <c r="O10" s="114" t="s">
        <v>251</v>
      </c>
      <c r="P10" s="97"/>
      <c r="Q10" s="115"/>
      <c r="R10" s="97"/>
      <c r="S10" s="97"/>
      <c r="T10" s="97"/>
      <c r="U10" s="97"/>
      <c r="V10" s="97"/>
      <c r="W10" s="97"/>
      <c r="X10" s="97"/>
      <c r="Y10" s="97"/>
      <c r="Z10" s="97"/>
    </row>
    <row r="11" ht="15.75" customHeight="1">
      <c r="A11" s="159" t="s">
        <v>189</v>
      </c>
      <c r="B11" s="160"/>
      <c r="C11" s="161"/>
      <c r="D11" s="161"/>
      <c r="E11" s="161"/>
      <c r="F11" s="161"/>
      <c r="G11" s="161"/>
      <c r="H11" s="161"/>
      <c r="I11" s="161"/>
      <c r="J11" s="161"/>
      <c r="K11" s="161"/>
      <c r="L11" s="161"/>
      <c r="M11" s="161"/>
      <c r="N11" s="161"/>
      <c r="O11" s="162"/>
      <c r="P11" s="97"/>
      <c r="Q11" s="119"/>
      <c r="R11" s="97"/>
      <c r="S11" s="97"/>
      <c r="T11" s="97"/>
      <c r="U11" s="97"/>
      <c r="V11" s="97"/>
      <c r="W11" s="97"/>
      <c r="X11" s="97"/>
      <c r="Y11" s="97"/>
      <c r="Z11" s="97"/>
    </row>
    <row r="12" ht="83.25" customHeight="1" outlineLevel="1">
      <c r="A12" s="120" t="s">
        <v>2699</v>
      </c>
      <c r="B12" s="128" t="s">
        <v>2700</v>
      </c>
      <c r="C12" s="129" t="s">
        <v>2701</v>
      </c>
      <c r="D12" s="129" t="s">
        <v>2702</v>
      </c>
      <c r="E12" s="129" t="s">
        <v>2625</v>
      </c>
      <c r="F12" s="120" t="s">
        <v>227</v>
      </c>
      <c r="G12" s="122">
        <v>45967.0</v>
      </c>
      <c r="H12" s="120" t="s">
        <v>749</v>
      </c>
      <c r="I12" s="120" t="s">
        <v>227</v>
      </c>
      <c r="J12" s="130">
        <v>45981.0</v>
      </c>
      <c r="K12" s="120" t="s">
        <v>258</v>
      </c>
      <c r="L12" s="120" t="s">
        <v>227</v>
      </c>
      <c r="M12" s="130">
        <v>46004.0</v>
      </c>
      <c r="N12" s="120" t="s">
        <v>782</v>
      </c>
      <c r="O12" s="123"/>
      <c r="P12" s="132"/>
      <c r="Q12" s="124"/>
      <c r="R12" s="132"/>
      <c r="S12" s="132"/>
      <c r="T12" s="132"/>
      <c r="U12" s="132"/>
      <c r="V12" s="132"/>
      <c r="W12" s="132"/>
      <c r="X12" s="132"/>
      <c r="Y12" s="132"/>
      <c r="Z12" s="132"/>
    </row>
    <row r="13" ht="12.75" customHeight="1" outlineLevel="1">
      <c r="A13" s="120" t="s">
        <v>2703</v>
      </c>
      <c r="B13" s="128" t="s">
        <v>2704</v>
      </c>
      <c r="C13" s="129" t="s">
        <v>2705</v>
      </c>
      <c r="D13" s="129" t="s">
        <v>2706</v>
      </c>
      <c r="E13" s="121" t="s">
        <v>2625</v>
      </c>
      <c r="F13" s="120" t="s">
        <v>228</v>
      </c>
      <c r="G13" s="122">
        <v>45967.0</v>
      </c>
      <c r="H13" s="120" t="s">
        <v>749</v>
      </c>
      <c r="I13" s="120" t="s">
        <v>227</v>
      </c>
      <c r="J13" s="130">
        <v>45981.0</v>
      </c>
      <c r="K13" s="120" t="s">
        <v>258</v>
      </c>
      <c r="L13" s="120" t="s">
        <v>229</v>
      </c>
      <c r="M13" s="130">
        <v>46004.0</v>
      </c>
      <c r="N13" s="120" t="s">
        <v>782</v>
      </c>
      <c r="O13" s="123"/>
      <c r="P13" s="10"/>
      <c r="Q13" s="124"/>
      <c r="R13" s="10"/>
      <c r="S13" s="10"/>
      <c r="T13" s="10"/>
      <c r="U13" s="10"/>
      <c r="V13" s="10"/>
      <c r="W13" s="10"/>
      <c r="X13" s="10"/>
      <c r="Y13" s="10"/>
      <c r="Z13" s="10"/>
    </row>
    <row r="14" ht="12.75" customHeight="1" outlineLevel="1">
      <c r="A14" s="120" t="s">
        <v>2707</v>
      </c>
      <c r="B14" s="128" t="s">
        <v>2708</v>
      </c>
      <c r="C14" s="120" t="s">
        <v>2709</v>
      </c>
      <c r="D14" s="121" t="s">
        <v>2710</v>
      </c>
      <c r="E14" s="121" t="s">
        <v>2625</v>
      </c>
      <c r="F14" s="120" t="s">
        <v>227</v>
      </c>
      <c r="G14" s="122">
        <v>45967.0</v>
      </c>
      <c r="H14" s="120" t="s">
        <v>749</v>
      </c>
      <c r="I14" s="120" t="s">
        <v>227</v>
      </c>
      <c r="J14" s="130">
        <v>45981.0</v>
      </c>
      <c r="K14" s="120" t="s">
        <v>258</v>
      </c>
      <c r="L14" s="120" t="s">
        <v>227</v>
      </c>
      <c r="M14" s="130">
        <v>46004.0</v>
      </c>
      <c r="N14" s="120" t="s">
        <v>782</v>
      </c>
      <c r="O14" s="123"/>
      <c r="P14" s="10"/>
      <c r="Q14" s="124"/>
      <c r="R14" s="10"/>
      <c r="S14" s="10"/>
      <c r="T14" s="10"/>
      <c r="U14" s="10"/>
      <c r="V14" s="10"/>
      <c r="W14" s="10"/>
      <c r="X14" s="10"/>
      <c r="Y14" s="10"/>
      <c r="Z14" s="10"/>
    </row>
    <row r="15" ht="12.75" customHeight="1" outlineLevel="1">
      <c r="A15" s="120" t="s">
        <v>2711</v>
      </c>
      <c r="B15" s="128" t="s">
        <v>2712</v>
      </c>
      <c r="C15" s="120" t="s">
        <v>2713</v>
      </c>
      <c r="D15" s="165" t="s">
        <v>2714</v>
      </c>
      <c r="E15" s="165" t="s">
        <v>2625</v>
      </c>
      <c r="F15" s="120" t="s">
        <v>227</v>
      </c>
      <c r="G15" s="122">
        <v>45967.0</v>
      </c>
      <c r="H15" s="120" t="s">
        <v>749</v>
      </c>
      <c r="I15" s="120" t="s">
        <v>227</v>
      </c>
      <c r="J15" s="130">
        <v>45981.0</v>
      </c>
      <c r="K15" s="120" t="s">
        <v>258</v>
      </c>
      <c r="L15" s="120" t="s">
        <v>227</v>
      </c>
      <c r="M15" s="130">
        <v>46004.0</v>
      </c>
      <c r="N15" s="120" t="s">
        <v>782</v>
      </c>
      <c r="O15" s="166"/>
      <c r="P15" s="10"/>
      <c r="Q15" s="124"/>
      <c r="R15" s="10"/>
      <c r="S15" s="10"/>
      <c r="T15" s="10"/>
      <c r="U15" s="10"/>
      <c r="V15" s="10"/>
      <c r="W15" s="10"/>
      <c r="X15" s="10"/>
      <c r="Y15" s="10"/>
      <c r="Z15" s="10"/>
    </row>
    <row r="16" ht="12.75" customHeight="1" outlineLevel="1">
      <c r="A16" s="120" t="s">
        <v>2715</v>
      </c>
      <c r="B16" s="128" t="s">
        <v>2716</v>
      </c>
      <c r="C16" s="164" t="s">
        <v>2717</v>
      </c>
      <c r="D16" s="165" t="s">
        <v>2718</v>
      </c>
      <c r="E16" s="165" t="s">
        <v>2689</v>
      </c>
      <c r="F16" s="120" t="s">
        <v>227</v>
      </c>
      <c r="G16" s="122">
        <v>45967.0</v>
      </c>
      <c r="H16" s="120" t="s">
        <v>749</v>
      </c>
      <c r="I16" s="120" t="s">
        <v>227</v>
      </c>
      <c r="J16" s="130">
        <v>45981.0</v>
      </c>
      <c r="K16" s="120" t="s">
        <v>258</v>
      </c>
      <c r="L16" s="120" t="s">
        <v>227</v>
      </c>
      <c r="M16" s="130">
        <v>46004.0</v>
      </c>
      <c r="N16" s="120" t="s">
        <v>782</v>
      </c>
      <c r="O16" s="166"/>
      <c r="P16" s="10"/>
      <c r="Q16" s="124"/>
      <c r="R16" s="10"/>
      <c r="S16" s="10"/>
      <c r="T16" s="10"/>
      <c r="U16" s="10"/>
      <c r="V16" s="10"/>
      <c r="W16" s="10"/>
      <c r="X16" s="10"/>
      <c r="Y16" s="10"/>
      <c r="Z16" s="10"/>
    </row>
    <row r="17" ht="15.75" customHeight="1">
      <c r="A17" s="159" t="s">
        <v>2719</v>
      </c>
      <c r="B17" s="167"/>
      <c r="C17" s="168"/>
      <c r="D17" s="168"/>
      <c r="E17" s="168"/>
      <c r="F17" s="168"/>
      <c r="G17" s="168"/>
      <c r="H17" s="168"/>
      <c r="I17" s="168"/>
      <c r="J17" s="168"/>
      <c r="K17" s="168"/>
      <c r="L17" s="168"/>
      <c r="M17" s="168"/>
      <c r="N17" s="168"/>
      <c r="O17" s="169"/>
      <c r="P17" s="97"/>
      <c r="Q17" s="119"/>
      <c r="R17" s="97"/>
      <c r="S17" s="97"/>
      <c r="T17" s="97"/>
      <c r="U17" s="97"/>
      <c r="V17" s="97"/>
      <c r="W17" s="97"/>
      <c r="X17" s="97"/>
      <c r="Y17" s="97"/>
      <c r="Z17" s="97"/>
    </row>
    <row r="18" ht="83.25" customHeight="1" outlineLevel="1">
      <c r="A18" s="120" t="s">
        <v>2720</v>
      </c>
      <c r="B18" s="128" t="s">
        <v>2721</v>
      </c>
      <c r="C18" s="129" t="s">
        <v>2722</v>
      </c>
      <c r="D18" s="129" t="s">
        <v>2723</v>
      </c>
      <c r="E18" s="129" t="s">
        <v>2724</v>
      </c>
      <c r="F18" s="120" t="s">
        <v>227</v>
      </c>
      <c r="G18" s="122">
        <v>45967.0</v>
      </c>
      <c r="H18" s="120" t="s">
        <v>749</v>
      </c>
      <c r="I18" s="120" t="s">
        <v>227</v>
      </c>
      <c r="J18" s="130">
        <v>45981.0</v>
      </c>
      <c r="K18" s="120" t="s">
        <v>258</v>
      </c>
      <c r="L18" s="120" t="s">
        <v>229</v>
      </c>
      <c r="M18" s="130">
        <v>46004.0</v>
      </c>
      <c r="N18" s="120" t="s">
        <v>782</v>
      </c>
      <c r="O18" s="123"/>
      <c r="P18" s="132"/>
      <c r="Q18" s="124"/>
      <c r="R18" s="132"/>
      <c r="S18" s="132"/>
      <c r="T18" s="132"/>
      <c r="U18" s="132"/>
      <c r="V18" s="132"/>
      <c r="W18" s="132"/>
      <c r="X18" s="132"/>
      <c r="Y18" s="132"/>
      <c r="Z18" s="132"/>
    </row>
    <row r="19" ht="12.75" customHeight="1" outlineLevel="1">
      <c r="A19" s="120" t="s">
        <v>2725</v>
      </c>
      <c r="B19" s="120" t="s">
        <v>2726</v>
      </c>
      <c r="C19" s="120" t="s">
        <v>2727</v>
      </c>
      <c r="D19" s="121" t="s">
        <v>2728</v>
      </c>
      <c r="E19" s="121" t="s">
        <v>2625</v>
      </c>
      <c r="F19" s="120" t="s">
        <v>227</v>
      </c>
      <c r="G19" s="122">
        <v>45967.0</v>
      </c>
      <c r="H19" s="120" t="s">
        <v>749</v>
      </c>
      <c r="I19" s="120" t="s">
        <v>227</v>
      </c>
      <c r="J19" s="130">
        <v>45981.0</v>
      </c>
      <c r="K19" s="120" t="s">
        <v>258</v>
      </c>
      <c r="L19" s="120" t="s">
        <v>227</v>
      </c>
      <c r="M19" s="130">
        <v>46004.0</v>
      </c>
      <c r="N19" s="120" t="s">
        <v>782</v>
      </c>
      <c r="O19" s="123"/>
      <c r="P19" s="10"/>
      <c r="Q19" s="124"/>
      <c r="R19" s="10"/>
      <c r="S19" s="10"/>
      <c r="T19" s="10"/>
      <c r="U19" s="10"/>
      <c r="V19" s="10"/>
      <c r="W19" s="10"/>
      <c r="X19" s="10"/>
      <c r="Y19" s="10"/>
      <c r="Z19" s="10"/>
    </row>
    <row r="20" ht="12.75" customHeight="1" outlineLevel="1">
      <c r="A20" s="120" t="s">
        <v>2729</v>
      </c>
      <c r="B20" s="120" t="s">
        <v>2730</v>
      </c>
      <c r="C20" s="120" t="s">
        <v>2731</v>
      </c>
      <c r="D20" s="121" t="s">
        <v>2732</v>
      </c>
      <c r="E20" s="121" t="s">
        <v>2625</v>
      </c>
      <c r="F20" s="120" t="s">
        <v>228</v>
      </c>
      <c r="G20" s="122">
        <v>45967.0</v>
      </c>
      <c r="H20" s="120" t="s">
        <v>749</v>
      </c>
      <c r="I20" s="120" t="s">
        <v>228</v>
      </c>
      <c r="J20" s="130">
        <v>45981.0</v>
      </c>
      <c r="K20" s="120" t="s">
        <v>258</v>
      </c>
      <c r="L20" s="120" t="s">
        <v>227</v>
      </c>
      <c r="M20" s="130">
        <v>46004.0</v>
      </c>
      <c r="N20" s="120" t="s">
        <v>782</v>
      </c>
      <c r="O20" s="123"/>
      <c r="P20" s="10"/>
      <c r="Q20" s="124"/>
      <c r="R20" s="10"/>
      <c r="S20" s="10"/>
      <c r="T20" s="10"/>
      <c r="U20" s="10"/>
      <c r="V20" s="10"/>
      <c r="W20" s="10"/>
      <c r="X20" s="10"/>
      <c r="Y20" s="10"/>
      <c r="Z20" s="10"/>
    </row>
    <row r="21" ht="12.75" customHeight="1" outlineLevel="1">
      <c r="A21" s="120" t="s">
        <v>2733</v>
      </c>
      <c r="B21" s="120" t="s">
        <v>2734</v>
      </c>
      <c r="C21" s="120" t="s">
        <v>2735</v>
      </c>
      <c r="D21" s="121" t="s">
        <v>2728</v>
      </c>
      <c r="E21" s="165" t="s">
        <v>2679</v>
      </c>
      <c r="F21" s="120" t="s">
        <v>228</v>
      </c>
      <c r="G21" s="122">
        <v>45967.0</v>
      </c>
      <c r="H21" s="120" t="s">
        <v>749</v>
      </c>
      <c r="I21" s="120" t="s">
        <v>228</v>
      </c>
      <c r="J21" s="130">
        <v>45981.0</v>
      </c>
      <c r="K21" s="120" t="s">
        <v>258</v>
      </c>
      <c r="L21" s="120" t="s">
        <v>227</v>
      </c>
      <c r="M21" s="130">
        <v>46004.0</v>
      </c>
      <c r="N21" s="120" t="s">
        <v>782</v>
      </c>
      <c r="O21" s="166"/>
      <c r="P21" s="10"/>
      <c r="Q21" s="124"/>
      <c r="R21" s="10"/>
      <c r="S21" s="10"/>
      <c r="T21" s="10"/>
      <c r="U21" s="10"/>
      <c r="V21" s="10"/>
      <c r="W21" s="10"/>
      <c r="X21" s="10"/>
      <c r="Y21" s="10"/>
      <c r="Z21" s="10"/>
    </row>
    <row r="22" ht="12.75" customHeight="1" outlineLevel="1">
      <c r="A22" s="120" t="s">
        <v>2736</v>
      </c>
      <c r="B22" s="120" t="s">
        <v>2737</v>
      </c>
      <c r="C22" s="120" t="s">
        <v>2738</v>
      </c>
      <c r="D22" s="121" t="s">
        <v>2739</v>
      </c>
      <c r="E22" s="165" t="s">
        <v>2724</v>
      </c>
      <c r="F22" s="120" t="s">
        <v>227</v>
      </c>
      <c r="G22" s="122">
        <v>45967.0</v>
      </c>
      <c r="H22" s="120" t="s">
        <v>749</v>
      </c>
      <c r="I22" s="120" t="s">
        <v>227</v>
      </c>
      <c r="J22" s="130">
        <v>45981.0</v>
      </c>
      <c r="K22" s="120" t="s">
        <v>258</v>
      </c>
      <c r="L22" s="120" t="s">
        <v>227</v>
      </c>
      <c r="M22" s="130">
        <v>46004.0</v>
      </c>
      <c r="N22" s="120" t="s">
        <v>782</v>
      </c>
      <c r="O22" s="166"/>
      <c r="P22" s="10"/>
      <c r="Q22" s="124"/>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89"/>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89"/>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89"/>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89"/>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89"/>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89"/>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89"/>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89"/>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89"/>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89"/>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89"/>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89"/>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89"/>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89"/>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89"/>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89"/>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89"/>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89"/>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89"/>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89"/>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8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8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8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8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8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8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8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8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8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8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8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8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8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8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8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8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8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8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8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8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8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8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8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8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8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8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8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8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8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8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8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8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8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8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8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8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8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8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8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8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8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8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8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8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8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8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8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8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8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8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8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8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8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8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8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8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8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8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8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8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8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8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8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8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8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8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8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8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8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8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8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8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8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8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8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8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8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8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8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8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8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8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8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8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8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8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8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8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8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8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8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8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8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8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8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8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8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8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8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8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8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8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8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8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8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8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8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8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8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8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8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8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8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8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8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8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8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8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8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8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8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8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8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8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8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8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8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8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8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8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8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8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8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8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8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8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8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8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8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8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8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8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8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8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8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8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8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8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8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8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8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8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8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8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8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8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8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8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8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8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8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8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8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8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8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8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8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8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8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8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8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8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8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8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8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8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8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8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8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8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8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8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8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8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8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8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8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8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8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8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8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8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8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8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8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8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8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8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8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8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8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8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8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8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8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8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8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8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8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8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8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8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8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8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8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8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8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8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8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8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8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8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8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8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8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8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8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8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8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8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8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8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8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8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8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8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8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8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8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8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8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8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8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8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8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8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8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8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8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8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8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8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8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8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8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8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8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8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8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8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8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8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8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8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8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8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8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8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8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8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8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8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8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8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8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8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8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8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8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8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8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8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8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8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8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8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8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8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8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8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8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8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8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8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8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8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8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8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8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8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8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8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8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8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8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8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8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8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8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8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8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8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8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8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8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8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8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8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8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8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8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8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8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8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8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8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8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8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8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8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8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8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8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8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8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8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8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8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8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8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8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8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8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8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8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8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8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8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8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8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8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8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8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8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8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8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8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8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8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8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8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8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8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8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8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8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8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8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8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8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8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8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8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8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8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8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8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8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8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8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8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8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8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8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8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8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8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8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8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8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8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8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8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8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8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8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8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8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8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8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8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8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8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8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8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8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8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8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8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8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8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8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8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8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8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8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8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8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8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8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8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8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8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8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8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8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8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8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8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8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8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8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8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8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8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8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8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8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8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8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8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8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8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8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8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8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8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8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8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8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8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8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8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8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8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8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8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8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8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8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8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8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8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8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8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8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8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8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8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8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8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8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8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8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8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8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8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8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8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8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8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8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8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8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8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8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8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8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8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8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8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8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8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8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8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8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8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8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8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8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8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8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8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8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8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8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8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8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8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8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8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8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8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8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8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8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8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8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8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8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8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8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8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8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8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8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8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8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8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8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8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8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8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8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8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8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8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8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8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8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8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8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8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8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8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8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8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8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8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8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8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8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8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8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8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8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8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8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8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8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8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8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8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8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8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8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8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8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8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8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8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8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8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8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8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8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8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8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8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8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8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8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8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8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8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8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8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8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8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8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8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8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8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8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8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8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8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8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8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8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8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8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8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8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8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8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8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8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8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8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8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8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8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8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8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8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8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8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8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8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8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8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8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8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8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8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8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8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8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8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8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8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8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8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8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8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8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8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8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8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8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8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8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8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8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8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8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8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8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8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8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8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8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8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8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8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8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8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8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8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8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8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8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8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8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8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8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8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8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8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8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8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8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8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8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8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8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8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8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8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8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8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8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8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8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8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8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8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8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8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8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8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8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8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8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8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8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8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8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8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8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8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8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8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8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8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8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8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8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8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8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8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8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8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8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8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8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8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8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8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8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8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8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8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8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8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8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8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8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8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8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8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8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8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8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8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8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8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8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8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8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8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8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8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8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8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8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8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8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8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8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8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8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8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8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8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8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8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8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8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8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8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8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8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8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8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8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8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8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8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8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8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8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8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8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8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8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8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8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8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8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8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8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8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8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8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8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8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8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8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8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8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8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8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8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8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8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8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8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8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8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8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8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8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8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8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8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8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8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8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8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8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8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8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8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8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8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8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8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89"/>
      <c r="R862" s="10"/>
      <c r="S862" s="10"/>
      <c r="T862" s="10"/>
      <c r="U862" s="10"/>
      <c r="V862" s="10"/>
      <c r="W862" s="10"/>
      <c r="X862" s="10"/>
      <c r="Y862" s="10"/>
      <c r="Z862" s="10"/>
    </row>
  </sheetData>
  <mergeCells count="3">
    <mergeCell ref="B2:E2"/>
    <mergeCell ref="B3:E3"/>
    <mergeCell ref="B4:E4"/>
  </mergeCells>
  <dataValidations>
    <dataValidation type="list" allowBlank="1" showErrorMessage="1" sqref="G2:G3 J2:J3 M2:M3 G9 J9 M9 F12:F22 I12:I22 L12:L22">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9.13"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89"/>
      <c r="R1" s="10"/>
      <c r="S1" s="10"/>
      <c r="T1" s="10"/>
      <c r="U1" s="10"/>
      <c r="V1" s="10"/>
      <c r="W1" s="10"/>
      <c r="X1" s="10"/>
      <c r="Y1" s="10"/>
      <c r="Z1" s="10"/>
    </row>
    <row r="2" ht="15.0" customHeight="1">
      <c r="A2" s="90" t="s">
        <v>236</v>
      </c>
      <c r="B2" s="91" t="s">
        <v>178</v>
      </c>
      <c r="C2" s="92"/>
      <c r="D2" s="92"/>
      <c r="E2" s="93"/>
      <c r="F2" s="94"/>
      <c r="G2" s="95"/>
      <c r="H2" s="40"/>
      <c r="I2" s="94"/>
      <c r="J2" s="95"/>
      <c r="K2" s="40"/>
      <c r="L2" s="94"/>
      <c r="M2" s="95"/>
      <c r="N2" s="40"/>
      <c r="O2" s="40"/>
      <c r="P2" s="40"/>
      <c r="Q2" s="96"/>
      <c r="R2" s="97" t="s">
        <v>227</v>
      </c>
      <c r="S2" s="97"/>
      <c r="T2" s="97"/>
      <c r="U2" s="97"/>
      <c r="V2" s="97"/>
      <c r="W2" s="97"/>
      <c r="X2" s="97"/>
      <c r="Y2" s="97"/>
      <c r="Z2" s="97"/>
    </row>
    <row r="3" ht="12.75" customHeight="1">
      <c r="A3" s="98" t="s">
        <v>237</v>
      </c>
      <c r="B3" s="99" t="s">
        <v>2740</v>
      </c>
      <c r="C3" s="5"/>
      <c r="D3" s="5"/>
      <c r="E3" s="100"/>
      <c r="F3" s="94"/>
      <c r="G3" s="95"/>
      <c r="H3" s="40"/>
      <c r="I3" s="94"/>
      <c r="J3" s="95"/>
      <c r="K3" s="40"/>
      <c r="L3" s="94"/>
      <c r="M3" s="95"/>
      <c r="N3" s="40"/>
      <c r="O3" s="40"/>
      <c r="P3" s="40"/>
      <c r="Q3" s="96"/>
      <c r="R3" s="97" t="s">
        <v>228</v>
      </c>
      <c r="S3" s="97"/>
      <c r="T3" s="97"/>
      <c r="U3" s="97"/>
      <c r="V3" s="97"/>
      <c r="W3" s="97"/>
      <c r="X3" s="97"/>
      <c r="Y3" s="97"/>
      <c r="Z3" s="97"/>
    </row>
    <row r="4" ht="18.0" customHeight="1">
      <c r="A4" s="98" t="s">
        <v>239</v>
      </c>
      <c r="B4" s="127">
        <f>COUNTA(A11:A742)-2</f>
        <v>12</v>
      </c>
      <c r="C4" s="5"/>
      <c r="D4" s="5"/>
      <c r="E4" s="100"/>
      <c r="F4" s="94"/>
      <c r="G4" s="95"/>
      <c r="H4" s="40"/>
      <c r="I4" s="94"/>
      <c r="J4" s="95"/>
      <c r="K4" s="40"/>
      <c r="L4" s="94"/>
      <c r="M4" s="95"/>
      <c r="N4" s="40"/>
      <c r="O4" s="40"/>
      <c r="P4" s="40"/>
      <c r="Q4" s="96"/>
      <c r="R4" s="97" t="s">
        <v>229</v>
      </c>
      <c r="S4" s="97"/>
      <c r="T4" s="97"/>
      <c r="U4" s="97"/>
      <c r="V4" s="97"/>
      <c r="W4" s="97"/>
      <c r="X4" s="97"/>
      <c r="Y4" s="97"/>
      <c r="Z4" s="97"/>
    </row>
    <row r="5" ht="19.5" customHeight="1">
      <c r="A5" s="101" t="s">
        <v>240</v>
      </c>
      <c r="B5" s="102" t="s">
        <v>227</v>
      </c>
      <c r="C5" s="102" t="s">
        <v>228</v>
      </c>
      <c r="D5" s="102" t="s">
        <v>229</v>
      </c>
      <c r="E5" s="103" t="s">
        <v>230</v>
      </c>
      <c r="F5" s="104"/>
      <c r="G5" s="104"/>
      <c r="H5" s="105"/>
      <c r="I5" s="104"/>
      <c r="J5" s="104"/>
      <c r="K5" s="105"/>
      <c r="L5" s="104"/>
      <c r="M5" s="104"/>
      <c r="N5" s="105"/>
      <c r="O5" s="105"/>
      <c r="P5" s="105"/>
      <c r="Q5" s="106"/>
      <c r="R5" s="97" t="s">
        <v>230</v>
      </c>
      <c r="S5" s="97"/>
      <c r="T5" s="97"/>
      <c r="U5" s="97"/>
      <c r="V5" s="97"/>
      <c r="W5" s="97"/>
      <c r="X5" s="97"/>
      <c r="Y5" s="97"/>
      <c r="Z5" s="97"/>
    </row>
    <row r="6" ht="15.0" customHeight="1">
      <c r="A6" s="101" t="s">
        <v>241</v>
      </c>
      <c r="B6" s="107">
        <f t="shared" ref="B6:E6" si="1">COUNTIF($F10:$F740,B5)</f>
        <v>10</v>
      </c>
      <c r="C6" s="107">
        <f t="shared" si="1"/>
        <v>2</v>
      </c>
      <c r="D6" s="107">
        <f t="shared" si="1"/>
        <v>0</v>
      </c>
      <c r="E6" s="108">
        <f t="shared" si="1"/>
        <v>0</v>
      </c>
      <c r="F6" s="109"/>
      <c r="G6" s="109"/>
      <c r="H6" s="105"/>
      <c r="I6" s="109"/>
      <c r="J6" s="109"/>
      <c r="K6" s="105"/>
      <c r="L6" s="109"/>
      <c r="M6" s="109"/>
      <c r="N6" s="105"/>
      <c r="O6" s="105"/>
      <c r="P6" s="105"/>
      <c r="Q6" s="106"/>
      <c r="R6" s="97"/>
      <c r="S6" s="97"/>
      <c r="T6" s="97"/>
      <c r="U6" s="97"/>
      <c r="V6" s="97"/>
      <c r="W6" s="97"/>
      <c r="X6" s="97"/>
      <c r="Y6" s="97"/>
      <c r="Z6" s="97"/>
    </row>
    <row r="7" ht="15.0" customHeight="1">
      <c r="A7" s="101" t="s">
        <v>242</v>
      </c>
      <c r="B7" s="107">
        <f>COUNTIF($I10:$I675,B5)</f>
        <v>10</v>
      </c>
      <c r="C7" s="107">
        <f>COUNTIF($I10:$FI675,C5)</f>
        <v>1</v>
      </c>
      <c r="D7" s="107">
        <f t="shared" ref="D7:E7" si="2">COUNTIF($F10:$F740,D5)</f>
        <v>0</v>
      </c>
      <c r="E7" s="108">
        <f t="shared" si="2"/>
        <v>0</v>
      </c>
      <c r="F7" s="109"/>
      <c r="G7" s="109"/>
      <c r="H7" s="105"/>
      <c r="I7" s="109"/>
      <c r="J7" s="109"/>
      <c r="K7" s="105"/>
      <c r="L7" s="109"/>
      <c r="M7" s="109"/>
      <c r="N7" s="105"/>
      <c r="O7" s="105"/>
      <c r="P7" s="105"/>
      <c r="Q7" s="106"/>
      <c r="R7" s="97"/>
      <c r="S7" s="97"/>
      <c r="T7" s="97"/>
      <c r="U7" s="97"/>
      <c r="V7" s="97"/>
      <c r="W7" s="97"/>
      <c r="X7" s="97"/>
      <c r="Y7" s="97"/>
      <c r="Z7" s="97"/>
    </row>
    <row r="8" ht="15.0" customHeight="1">
      <c r="A8" s="110" t="s">
        <v>243</v>
      </c>
      <c r="B8" s="111">
        <f t="shared" ref="B8:C8" si="3">COUNTIF($L10:$L675,B5)</f>
        <v>9</v>
      </c>
      <c r="C8" s="111">
        <f t="shared" si="3"/>
        <v>0</v>
      </c>
      <c r="D8" s="111">
        <f t="shared" ref="D8:E8" si="4">COUNTIF($F10:$F740,D5)</f>
        <v>0</v>
      </c>
      <c r="E8" s="112">
        <f t="shared" si="4"/>
        <v>0</v>
      </c>
      <c r="F8" s="109"/>
      <c r="G8" s="109"/>
      <c r="H8" s="105"/>
      <c r="I8" s="109"/>
      <c r="J8" s="109"/>
      <c r="K8" s="105"/>
      <c r="L8" s="109"/>
      <c r="M8" s="109"/>
      <c r="N8" s="105"/>
      <c r="O8" s="105"/>
      <c r="P8" s="105"/>
      <c r="Q8" s="106"/>
      <c r="R8" s="97"/>
      <c r="S8" s="97"/>
      <c r="T8" s="97"/>
      <c r="U8" s="97"/>
      <c r="V8" s="97"/>
      <c r="W8" s="97"/>
      <c r="X8" s="97"/>
      <c r="Y8" s="97"/>
      <c r="Z8" s="97"/>
    </row>
    <row r="9" ht="15.0" customHeight="1">
      <c r="A9" s="105"/>
      <c r="B9" s="105"/>
      <c r="C9" s="105"/>
      <c r="D9" s="105"/>
      <c r="E9" s="105"/>
      <c r="F9" s="88"/>
      <c r="G9" s="105"/>
      <c r="H9" s="105"/>
      <c r="I9" s="88"/>
      <c r="J9" s="105"/>
      <c r="K9" s="105"/>
      <c r="L9" s="88"/>
      <c r="M9" s="105"/>
      <c r="N9" s="105"/>
      <c r="O9" s="105"/>
      <c r="P9" s="105"/>
      <c r="Q9" s="106"/>
      <c r="R9" s="97"/>
      <c r="S9" s="97"/>
      <c r="T9" s="97"/>
      <c r="U9" s="97"/>
      <c r="V9" s="97"/>
      <c r="W9" s="97"/>
      <c r="X9" s="97"/>
      <c r="Y9" s="97"/>
      <c r="Z9" s="97"/>
    </row>
    <row r="10" ht="25.5" customHeight="1">
      <c r="A10" s="114" t="s">
        <v>244</v>
      </c>
      <c r="B10" s="114" t="s">
        <v>245</v>
      </c>
      <c r="C10" s="114" t="s">
        <v>246</v>
      </c>
      <c r="D10" s="114" t="s">
        <v>247</v>
      </c>
      <c r="E10" s="114" t="s">
        <v>248</v>
      </c>
      <c r="F10" s="114" t="s">
        <v>241</v>
      </c>
      <c r="G10" s="114" t="s">
        <v>249</v>
      </c>
      <c r="H10" s="114" t="s">
        <v>250</v>
      </c>
      <c r="I10" s="114" t="s">
        <v>242</v>
      </c>
      <c r="J10" s="114" t="s">
        <v>249</v>
      </c>
      <c r="K10" s="114" t="s">
        <v>250</v>
      </c>
      <c r="L10" s="114" t="s">
        <v>243</v>
      </c>
      <c r="M10" s="114" t="s">
        <v>249</v>
      </c>
      <c r="N10" s="114" t="s">
        <v>250</v>
      </c>
      <c r="O10" s="114" t="s">
        <v>251</v>
      </c>
      <c r="P10" s="97"/>
      <c r="Q10" s="115"/>
      <c r="R10" s="97"/>
      <c r="S10" s="97"/>
      <c r="T10" s="97"/>
      <c r="U10" s="97"/>
      <c r="V10" s="97"/>
      <c r="W10" s="97"/>
      <c r="X10" s="97"/>
      <c r="Y10" s="97"/>
      <c r="Z10" s="97"/>
    </row>
    <row r="11" ht="120.75" customHeight="1" outlineLevel="1">
      <c r="A11" s="120" t="s">
        <v>2741</v>
      </c>
      <c r="B11" s="128" t="s">
        <v>2742</v>
      </c>
      <c r="C11" s="129" t="s">
        <v>2743</v>
      </c>
      <c r="D11" s="129" t="s">
        <v>2744</v>
      </c>
      <c r="E11" s="129" t="s">
        <v>2745</v>
      </c>
      <c r="F11" s="120" t="s">
        <v>227</v>
      </c>
      <c r="G11" s="122">
        <v>45935.0</v>
      </c>
      <c r="H11" s="120" t="s">
        <v>259</v>
      </c>
      <c r="I11" s="120" t="s">
        <v>227</v>
      </c>
      <c r="J11" s="130">
        <v>45971.0</v>
      </c>
      <c r="K11" s="120" t="s">
        <v>4</v>
      </c>
      <c r="L11" s="120" t="s">
        <v>227</v>
      </c>
      <c r="M11" s="130">
        <v>46004.0</v>
      </c>
      <c r="N11" s="120" t="s">
        <v>4</v>
      </c>
      <c r="O11" s="123"/>
      <c r="P11" s="131"/>
      <c r="Q11" s="124"/>
      <c r="R11" s="132"/>
      <c r="S11" s="132"/>
      <c r="T11" s="132"/>
      <c r="U11" s="132"/>
      <c r="V11" s="132"/>
      <c r="W11" s="132"/>
      <c r="X11" s="132"/>
      <c r="Y11" s="132"/>
      <c r="Z11" s="132"/>
    </row>
    <row r="12" ht="12.75" customHeight="1" outlineLevel="1">
      <c r="A12" s="120" t="s">
        <v>2746</v>
      </c>
      <c r="B12" s="120" t="s">
        <v>2747</v>
      </c>
      <c r="C12" s="120" t="s">
        <v>2748</v>
      </c>
      <c r="D12" s="121" t="s">
        <v>2749</v>
      </c>
      <c r="E12" s="121" t="s">
        <v>2750</v>
      </c>
      <c r="F12" s="120" t="s">
        <v>227</v>
      </c>
      <c r="G12" s="122">
        <v>45935.0</v>
      </c>
      <c r="H12" s="120" t="s">
        <v>259</v>
      </c>
      <c r="I12" s="120" t="s">
        <v>227</v>
      </c>
      <c r="J12" s="130">
        <v>45971.0</v>
      </c>
      <c r="K12" s="120" t="s">
        <v>4</v>
      </c>
      <c r="L12" s="120" t="s">
        <v>227</v>
      </c>
      <c r="M12" s="130">
        <v>46004.0</v>
      </c>
      <c r="N12" s="120" t="s">
        <v>4</v>
      </c>
      <c r="O12" s="123"/>
      <c r="P12" s="57"/>
      <c r="Q12" s="124"/>
      <c r="R12" s="10"/>
      <c r="S12" s="10"/>
      <c r="T12" s="10"/>
      <c r="U12" s="10"/>
      <c r="V12" s="10"/>
      <c r="W12" s="10"/>
      <c r="X12" s="10"/>
      <c r="Y12" s="10"/>
      <c r="Z12" s="10"/>
    </row>
    <row r="13" ht="12.75" customHeight="1" outlineLevel="1">
      <c r="A13" s="120" t="s">
        <v>2751</v>
      </c>
      <c r="B13" s="120" t="s">
        <v>2752</v>
      </c>
      <c r="C13" s="120" t="s">
        <v>2753</v>
      </c>
      <c r="D13" s="121" t="s">
        <v>2754</v>
      </c>
      <c r="E13" s="121" t="s">
        <v>2755</v>
      </c>
      <c r="F13" s="120" t="s">
        <v>227</v>
      </c>
      <c r="G13" s="122">
        <v>45935.0</v>
      </c>
      <c r="H13" s="120" t="s">
        <v>259</v>
      </c>
      <c r="I13" s="120" t="s">
        <v>227</v>
      </c>
      <c r="J13" s="130">
        <v>45971.0</v>
      </c>
      <c r="K13" s="120" t="s">
        <v>4</v>
      </c>
      <c r="L13" s="120" t="s">
        <v>227</v>
      </c>
      <c r="M13" s="130">
        <v>46004.0</v>
      </c>
      <c r="N13" s="120" t="s">
        <v>4</v>
      </c>
      <c r="O13" s="123"/>
      <c r="P13" s="57"/>
      <c r="Q13" s="124"/>
      <c r="R13" s="10"/>
      <c r="S13" s="10"/>
      <c r="T13" s="10"/>
      <c r="U13" s="10"/>
      <c r="V13" s="10"/>
      <c r="W13" s="10"/>
      <c r="X13" s="10"/>
      <c r="Y13" s="10"/>
      <c r="Z13" s="10"/>
    </row>
    <row r="14" ht="12.75" customHeight="1" outlineLevel="1">
      <c r="A14" s="120" t="s">
        <v>2756</v>
      </c>
      <c r="B14" s="120" t="s">
        <v>2757</v>
      </c>
      <c r="C14" s="120" t="s">
        <v>2758</v>
      </c>
      <c r="D14" s="121" t="s">
        <v>2759</v>
      </c>
      <c r="E14" s="121" t="s">
        <v>2760</v>
      </c>
      <c r="F14" s="120" t="s">
        <v>227</v>
      </c>
      <c r="G14" s="122">
        <v>45935.0</v>
      </c>
      <c r="H14" s="120" t="s">
        <v>259</v>
      </c>
      <c r="I14" s="120" t="s">
        <v>227</v>
      </c>
      <c r="J14" s="130">
        <v>45971.0</v>
      </c>
      <c r="K14" s="120" t="s">
        <v>4</v>
      </c>
      <c r="L14" s="120" t="s">
        <v>227</v>
      </c>
      <c r="M14" s="130">
        <v>46004.0</v>
      </c>
      <c r="N14" s="120" t="s">
        <v>4</v>
      </c>
      <c r="O14" s="123"/>
      <c r="P14" s="57"/>
      <c r="Q14" s="124"/>
      <c r="R14" s="10"/>
      <c r="S14" s="10"/>
      <c r="T14" s="10"/>
      <c r="U14" s="10"/>
      <c r="V14" s="10"/>
      <c r="W14" s="10"/>
      <c r="X14" s="10"/>
      <c r="Y14" s="10"/>
      <c r="Z14" s="10"/>
    </row>
    <row r="15" ht="12.75" customHeight="1" outlineLevel="1">
      <c r="A15" s="120" t="s">
        <v>2761</v>
      </c>
      <c r="B15" s="120" t="s">
        <v>2762</v>
      </c>
      <c r="C15" s="120" t="s">
        <v>2763</v>
      </c>
      <c r="D15" s="121" t="s">
        <v>2764</v>
      </c>
      <c r="E15" s="121" t="s">
        <v>2765</v>
      </c>
      <c r="F15" s="120" t="s">
        <v>227</v>
      </c>
      <c r="G15" s="122">
        <v>45935.0</v>
      </c>
      <c r="H15" s="120" t="s">
        <v>259</v>
      </c>
      <c r="I15" s="120" t="s">
        <v>227</v>
      </c>
      <c r="J15" s="130">
        <v>45971.0</v>
      </c>
      <c r="K15" s="120" t="s">
        <v>4</v>
      </c>
      <c r="L15" s="120" t="s">
        <v>230</v>
      </c>
      <c r="M15" s="130">
        <v>46004.0</v>
      </c>
      <c r="N15" s="120" t="s">
        <v>4</v>
      </c>
      <c r="O15" s="123"/>
      <c r="P15" s="57"/>
      <c r="Q15" s="124"/>
      <c r="R15" s="10"/>
      <c r="S15" s="10"/>
      <c r="T15" s="10"/>
      <c r="U15" s="10"/>
      <c r="V15" s="10"/>
      <c r="W15" s="10"/>
      <c r="X15" s="10"/>
      <c r="Y15" s="10"/>
      <c r="Z15" s="10"/>
    </row>
    <row r="16" ht="15.75" customHeight="1">
      <c r="A16" s="116" t="s">
        <v>2766</v>
      </c>
      <c r="B16" s="117"/>
      <c r="C16" s="117"/>
      <c r="D16" s="117"/>
      <c r="E16" s="117"/>
      <c r="F16" s="117"/>
      <c r="G16" s="117"/>
      <c r="H16" s="117"/>
      <c r="I16" s="117"/>
      <c r="J16" s="117"/>
      <c r="K16" s="117"/>
      <c r="L16" s="117"/>
      <c r="M16" s="117"/>
      <c r="N16" s="117"/>
      <c r="O16" s="117"/>
      <c r="P16" s="118"/>
      <c r="Q16" s="119"/>
      <c r="R16" s="97"/>
      <c r="S16" s="97"/>
      <c r="T16" s="97"/>
      <c r="U16" s="97"/>
      <c r="V16" s="97"/>
      <c r="W16" s="97"/>
      <c r="X16" s="97"/>
      <c r="Y16" s="97"/>
      <c r="Z16" s="97"/>
    </row>
    <row r="17" ht="12.75" customHeight="1" outlineLevel="1">
      <c r="A17" s="120" t="s">
        <v>2767</v>
      </c>
      <c r="B17" s="120" t="s">
        <v>2768</v>
      </c>
      <c r="C17" s="120" t="s">
        <v>2769</v>
      </c>
      <c r="D17" s="120" t="s">
        <v>2321</v>
      </c>
      <c r="E17" s="120" t="s">
        <v>2770</v>
      </c>
      <c r="F17" s="120" t="s">
        <v>227</v>
      </c>
      <c r="G17" s="122">
        <v>45935.0</v>
      </c>
      <c r="H17" s="120" t="s">
        <v>259</v>
      </c>
      <c r="I17" s="120" t="s">
        <v>227</v>
      </c>
      <c r="J17" s="130">
        <v>45971.0</v>
      </c>
      <c r="K17" s="120" t="s">
        <v>4</v>
      </c>
      <c r="L17" s="120" t="s">
        <v>227</v>
      </c>
      <c r="M17" s="130">
        <v>46004.0</v>
      </c>
      <c r="N17" s="120" t="s">
        <v>4</v>
      </c>
      <c r="O17" s="123"/>
      <c r="P17" s="57"/>
      <c r="Q17" s="124"/>
      <c r="R17" s="10"/>
      <c r="S17" s="10"/>
      <c r="T17" s="10"/>
      <c r="U17" s="10"/>
      <c r="V17" s="10"/>
      <c r="W17" s="10"/>
      <c r="X17" s="10"/>
      <c r="Y17" s="10"/>
      <c r="Z17" s="10"/>
    </row>
    <row r="18" ht="12.75" customHeight="1" outlineLevel="1">
      <c r="A18" s="120" t="s">
        <v>2771</v>
      </c>
      <c r="B18" s="120" t="s">
        <v>2772</v>
      </c>
      <c r="C18" s="120" t="s">
        <v>2773</v>
      </c>
      <c r="D18" s="120" t="s">
        <v>2774</v>
      </c>
      <c r="E18" s="120" t="s">
        <v>2775</v>
      </c>
      <c r="F18" s="120" t="s">
        <v>227</v>
      </c>
      <c r="G18" s="122">
        <v>45935.0</v>
      </c>
      <c r="H18" s="120" t="s">
        <v>259</v>
      </c>
      <c r="I18" s="120" t="s">
        <v>230</v>
      </c>
      <c r="J18" s="130">
        <v>45971.0</v>
      </c>
      <c r="K18" s="120" t="s">
        <v>4</v>
      </c>
      <c r="L18" s="120" t="s">
        <v>230</v>
      </c>
      <c r="M18" s="130">
        <v>46004.0</v>
      </c>
      <c r="N18" s="120" t="s">
        <v>4</v>
      </c>
      <c r="O18" s="79"/>
      <c r="P18" s="57"/>
      <c r="Q18" s="89"/>
      <c r="R18" s="10"/>
      <c r="S18" s="10"/>
      <c r="T18" s="10"/>
      <c r="U18" s="10"/>
      <c r="V18" s="10"/>
      <c r="W18" s="10"/>
      <c r="X18" s="10"/>
      <c r="Y18" s="10"/>
      <c r="Z18" s="10"/>
    </row>
    <row r="19" ht="12.75" customHeight="1" outlineLevel="1">
      <c r="A19" s="120" t="s">
        <v>2776</v>
      </c>
      <c r="B19" s="120" t="s">
        <v>2777</v>
      </c>
      <c r="C19" s="120" t="s">
        <v>2778</v>
      </c>
      <c r="D19" s="120" t="s">
        <v>2779</v>
      </c>
      <c r="E19" s="120" t="s">
        <v>2780</v>
      </c>
      <c r="F19" s="120" t="s">
        <v>227</v>
      </c>
      <c r="G19" s="122">
        <v>45935.0</v>
      </c>
      <c r="H19" s="120" t="s">
        <v>259</v>
      </c>
      <c r="I19" s="120" t="s">
        <v>227</v>
      </c>
      <c r="J19" s="130">
        <v>45971.0</v>
      </c>
      <c r="K19" s="120" t="s">
        <v>4</v>
      </c>
      <c r="L19" s="120" t="s">
        <v>227</v>
      </c>
      <c r="M19" s="130">
        <v>46004.0</v>
      </c>
      <c r="N19" s="120" t="s">
        <v>4</v>
      </c>
      <c r="O19" s="79"/>
      <c r="P19" s="57"/>
      <c r="Q19" s="89"/>
      <c r="R19" s="10"/>
      <c r="S19" s="10"/>
      <c r="T19" s="10"/>
      <c r="U19" s="10"/>
      <c r="V19" s="10"/>
      <c r="W19" s="10"/>
      <c r="X19" s="10"/>
      <c r="Y19" s="10"/>
      <c r="Z19" s="10"/>
    </row>
    <row r="20" ht="12.75" customHeight="1">
      <c r="A20" s="116" t="s">
        <v>2781</v>
      </c>
      <c r="B20" s="117"/>
      <c r="C20" s="117"/>
      <c r="D20" s="117"/>
      <c r="E20" s="117"/>
      <c r="F20" s="117"/>
      <c r="G20" s="117"/>
      <c r="H20" s="117"/>
      <c r="I20" s="117"/>
      <c r="J20" s="117"/>
      <c r="K20" s="117"/>
      <c r="L20" s="117"/>
      <c r="M20" s="117"/>
      <c r="N20" s="117"/>
      <c r="O20" s="117"/>
      <c r="P20" s="57"/>
      <c r="Q20" s="89"/>
      <c r="R20" s="10"/>
      <c r="S20" s="10"/>
      <c r="T20" s="10"/>
      <c r="U20" s="10"/>
      <c r="V20" s="10"/>
      <c r="W20" s="10"/>
      <c r="X20" s="10"/>
      <c r="Y20" s="10"/>
      <c r="Z20" s="10"/>
    </row>
    <row r="21" ht="12.75" customHeight="1">
      <c r="A21" s="120" t="s">
        <v>2782</v>
      </c>
      <c r="B21" s="120" t="s">
        <v>2783</v>
      </c>
      <c r="C21" s="120" t="s">
        <v>2784</v>
      </c>
      <c r="D21" s="120" t="s">
        <v>2785</v>
      </c>
      <c r="E21" s="120" t="s">
        <v>2786</v>
      </c>
      <c r="F21" s="120" t="s">
        <v>227</v>
      </c>
      <c r="G21" s="122">
        <v>45935.0</v>
      </c>
      <c r="H21" s="120" t="s">
        <v>259</v>
      </c>
      <c r="I21" s="120" t="s">
        <v>227</v>
      </c>
      <c r="J21" s="130">
        <v>45971.0</v>
      </c>
      <c r="K21" s="120" t="s">
        <v>4</v>
      </c>
      <c r="L21" s="120" t="s">
        <v>227</v>
      </c>
      <c r="M21" s="130">
        <v>46004.0</v>
      </c>
      <c r="N21" s="120" t="s">
        <v>4</v>
      </c>
      <c r="O21" s="123"/>
      <c r="P21" s="57"/>
      <c r="Q21" s="89"/>
      <c r="R21" s="10"/>
      <c r="S21" s="10"/>
      <c r="T21" s="10"/>
      <c r="U21" s="10"/>
      <c r="V21" s="10"/>
      <c r="W21" s="10"/>
      <c r="X21" s="10"/>
      <c r="Y21" s="10"/>
      <c r="Z21" s="10"/>
    </row>
    <row r="22" ht="12.75" customHeight="1">
      <c r="A22" s="120" t="s">
        <v>2787</v>
      </c>
      <c r="B22" s="120" t="s">
        <v>2788</v>
      </c>
      <c r="C22" s="120" t="s">
        <v>2789</v>
      </c>
      <c r="D22" s="120" t="s">
        <v>2790</v>
      </c>
      <c r="E22" s="120" t="s">
        <v>2791</v>
      </c>
      <c r="F22" s="120" t="s">
        <v>228</v>
      </c>
      <c r="G22" s="122">
        <v>45935.0</v>
      </c>
      <c r="H22" s="120" t="s">
        <v>259</v>
      </c>
      <c r="I22" s="120" t="s">
        <v>227</v>
      </c>
      <c r="J22" s="130">
        <v>45971.0</v>
      </c>
      <c r="K22" s="120" t="s">
        <v>4</v>
      </c>
      <c r="L22" s="120" t="s">
        <v>230</v>
      </c>
      <c r="M22" s="130">
        <v>46004.0</v>
      </c>
      <c r="N22" s="120" t="s">
        <v>4</v>
      </c>
      <c r="O22" s="79"/>
      <c r="P22" s="57"/>
      <c r="Q22" s="89"/>
      <c r="R22" s="10"/>
      <c r="S22" s="10"/>
      <c r="T22" s="10"/>
      <c r="U22" s="10"/>
      <c r="V22" s="10"/>
      <c r="W22" s="10"/>
      <c r="X22" s="10"/>
      <c r="Y22" s="10"/>
      <c r="Z22" s="10"/>
    </row>
    <row r="23" ht="12.75" customHeight="1">
      <c r="A23" s="120" t="s">
        <v>2792</v>
      </c>
      <c r="B23" s="120" t="s">
        <v>2793</v>
      </c>
      <c r="C23" s="120" t="s">
        <v>2794</v>
      </c>
      <c r="D23" s="120" t="s">
        <v>2795</v>
      </c>
      <c r="E23" s="120" t="s">
        <v>2796</v>
      </c>
      <c r="F23" s="120" t="s">
        <v>228</v>
      </c>
      <c r="G23" s="122">
        <v>45935.0</v>
      </c>
      <c r="H23" s="120" t="s">
        <v>259</v>
      </c>
      <c r="I23" s="120" t="s">
        <v>228</v>
      </c>
      <c r="J23" s="130">
        <v>45971.0</v>
      </c>
      <c r="K23" s="120" t="s">
        <v>4</v>
      </c>
      <c r="L23" s="120" t="s">
        <v>227</v>
      </c>
      <c r="M23" s="130">
        <v>46004.0</v>
      </c>
      <c r="N23" s="120" t="s">
        <v>4</v>
      </c>
      <c r="O23" s="79"/>
      <c r="P23" s="57"/>
      <c r="Q23" s="89"/>
      <c r="R23" s="10"/>
      <c r="S23" s="10"/>
      <c r="T23" s="10"/>
      <c r="U23" s="10"/>
      <c r="V23" s="10"/>
      <c r="W23" s="10"/>
      <c r="X23" s="10"/>
      <c r="Y23" s="10"/>
      <c r="Z23" s="10"/>
    </row>
    <row r="24" ht="12.75" customHeight="1">
      <c r="A24" s="120" t="s">
        <v>2797</v>
      </c>
      <c r="B24" s="120" t="s">
        <v>2798</v>
      </c>
      <c r="C24" s="120" t="s">
        <v>2799</v>
      </c>
      <c r="D24" s="120" t="s">
        <v>2800</v>
      </c>
      <c r="E24" s="120" t="s">
        <v>1002</v>
      </c>
      <c r="F24" s="120" t="s">
        <v>227</v>
      </c>
      <c r="G24" s="122">
        <v>45935.0</v>
      </c>
      <c r="H24" s="120" t="s">
        <v>259</v>
      </c>
      <c r="I24" s="120" t="s">
        <v>227</v>
      </c>
      <c r="J24" s="130">
        <v>45971.0</v>
      </c>
      <c r="K24" s="120" t="s">
        <v>4</v>
      </c>
      <c r="L24" s="120" t="s">
        <v>227</v>
      </c>
      <c r="M24" s="130">
        <v>46004.0</v>
      </c>
      <c r="N24" s="120" t="s">
        <v>4</v>
      </c>
      <c r="O24" s="79"/>
      <c r="P24" s="57"/>
      <c r="Q24" s="89"/>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89"/>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89"/>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89"/>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89"/>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89"/>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89"/>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89"/>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89"/>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89"/>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89"/>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89"/>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89"/>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89"/>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89"/>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89"/>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89"/>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89"/>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89"/>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8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8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8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8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8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8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8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8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8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8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8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8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8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8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8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8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8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8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8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8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8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8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8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8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8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8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8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8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8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8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8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8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8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8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8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8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8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8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8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8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8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8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8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8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8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8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8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8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8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8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8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8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8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8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8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8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8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8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8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8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8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8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8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8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8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8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8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8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8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8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8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8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8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8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8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8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8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8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8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8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8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8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8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8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8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8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8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8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8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8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8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8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8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8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8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8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8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8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8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8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8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8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8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8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8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8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8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8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8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8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8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8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8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8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8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8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8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8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8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8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8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8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8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8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8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8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8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8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8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8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8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8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8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8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8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8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8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8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8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8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8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8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8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8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8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8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8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8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8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8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8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8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8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8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8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8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8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8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8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8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8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8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8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8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8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8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8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8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8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8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8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8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8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8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8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8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8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8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8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8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8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8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8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8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8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8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8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8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8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8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8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8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8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8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8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8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8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8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8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8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8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8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8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8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8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8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8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8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8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8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8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8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8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8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8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8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8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8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8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8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8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8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8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8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8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8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8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8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8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8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8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8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8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8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8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8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8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8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8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8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8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8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8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8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8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8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8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8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8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8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8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8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8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8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8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8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8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8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8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8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8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8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8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8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8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8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8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8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8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8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8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8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8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8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8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8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8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8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8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8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8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8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8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8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8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8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8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8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8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8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8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8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8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8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8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8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8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8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8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8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8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8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8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8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8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8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8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8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8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8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8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8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8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8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8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8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8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8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8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8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8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8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8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8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8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8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8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8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8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8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8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8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8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8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8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8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8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8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8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8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8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8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8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8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8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8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8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8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8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8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8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8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8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8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8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8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8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8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8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8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8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8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8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8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8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8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8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8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8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8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8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8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8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8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8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8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8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8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8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8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8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8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8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8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8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8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8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8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8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8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8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8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8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8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8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8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8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8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8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8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8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8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8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8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8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8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8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8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8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8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8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8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8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8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8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8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8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8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8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8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8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8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8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8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8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8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8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8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8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8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8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8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8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8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8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8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8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8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8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8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8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8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8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8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8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8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8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8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8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8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8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8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8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8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8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8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8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8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8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8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8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8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8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8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8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8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8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8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8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8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8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8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8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8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8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8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8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8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8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8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8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8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8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8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8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8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8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8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8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8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8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8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8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8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8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8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8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8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8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8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8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8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8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8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8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8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8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8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8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8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8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8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8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8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8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8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8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8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8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8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8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8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8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8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8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8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8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8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8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8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8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8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8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8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8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8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8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8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8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8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8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8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8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8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8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8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8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8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8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8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8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8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8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8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8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8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8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8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8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8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8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8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8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8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8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8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8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8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8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8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8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8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8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8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8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8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8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8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8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8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8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8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8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8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8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8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8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8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8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8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8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8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8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8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8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8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8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8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8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8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8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8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8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8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8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8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8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8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8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8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8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8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8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8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8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8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8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8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8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8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8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8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8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8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8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8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8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8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8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8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8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8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8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8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8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8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8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8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8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8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8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8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8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8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8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8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8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8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8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8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8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8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8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8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8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8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8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8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8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8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8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8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8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8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8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8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8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8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8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8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8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8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8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8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8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8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8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8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8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8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8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8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8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8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8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8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8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8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8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8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8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8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8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8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8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8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8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8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8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8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8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89"/>
      <c r="R744" s="10"/>
      <c r="S744" s="10"/>
      <c r="T744" s="10"/>
      <c r="U744" s="10"/>
      <c r="V744" s="10"/>
      <c r="W744" s="10"/>
      <c r="X744" s="10"/>
      <c r="Y744" s="10"/>
      <c r="Z744" s="10"/>
    </row>
  </sheetData>
  <mergeCells count="3">
    <mergeCell ref="B2:E2"/>
    <mergeCell ref="B3:E3"/>
    <mergeCell ref="B4:E4"/>
  </mergeCells>
  <dataValidations>
    <dataValidation type="list" allowBlank="1" showErrorMessage="1" sqref="G2:G3 J2:J3 M2:M3 G9 J9 M9 F11:F24 I11:I24 L11:L24">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9.13" outlineLevel="1"/>
    <col customWidth="1" min="9" max="9" width="9.38"/>
    <col customWidth="1" min="10" max="10" width="10.63" outlineLevel="1"/>
    <col customWidth="1" min="11" max="11" width="11.13" outlineLevel="1"/>
    <col customWidth="1" min="12" max="12" width="9.38"/>
    <col customWidth="1" min="13" max="13" width="10.63" outlineLevel="1"/>
    <col customWidth="1" min="14" max="14" width="11.25"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89"/>
      <c r="R1" s="10"/>
      <c r="S1" s="10"/>
      <c r="T1" s="10"/>
      <c r="U1" s="10"/>
      <c r="V1" s="10"/>
      <c r="W1" s="10"/>
      <c r="X1" s="10"/>
      <c r="Y1" s="10"/>
      <c r="Z1" s="10"/>
    </row>
    <row r="2" ht="15.0" customHeight="1">
      <c r="A2" s="90" t="s">
        <v>236</v>
      </c>
      <c r="B2" s="91" t="s">
        <v>183</v>
      </c>
      <c r="C2" s="92"/>
      <c r="D2" s="92"/>
      <c r="E2" s="93"/>
      <c r="F2" s="94"/>
      <c r="G2" s="95"/>
      <c r="H2" s="40"/>
      <c r="I2" s="94"/>
      <c r="J2" s="95"/>
      <c r="K2" s="40"/>
      <c r="L2" s="94"/>
      <c r="M2" s="95"/>
      <c r="N2" s="40"/>
      <c r="O2" s="40"/>
      <c r="P2" s="40"/>
      <c r="Q2" s="96"/>
      <c r="R2" s="97" t="s">
        <v>227</v>
      </c>
      <c r="S2" s="97"/>
      <c r="T2" s="97"/>
      <c r="U2" s="97"/>
      <c r="V2" s="97"/>
      <c r="W2" s="97"/>
      <c r="X2" s="97"/>
      <c r="Y2" s="97"/>
      <c r="Z2" s="97"/>
    </row>
    <row r="3" ht="12.75" customHeight="1">
      <c r="A3" s="98" t="s">
        <v>237</v>
      </c>
      <c r="B3" s="99" t="s">
        <v>2801</v>
      </c>
      <c r="C3" s="5"/>
      <c r="D3" s="5"/>
      <c r="E3" s="100"/>
      <c r="F3" s="94"/>
      <c r="G3" s="95"/>
      <c r="H3" s="40"/>
      <c r="I3" s="94"/>
      <c r="J3" s="95"/>
      <c r="K3" s="40"/>
      <c r="L3" s="94"/>
      <c r="M3" s="95"/>
      <c r="N3" s="40"/>
      <c r="O3" s="40"/>
      <c r="P3" s="40"/>
      <c r="Q3" s="96"/>
      <c r="R3" s="97" t="s">
        <v>228</v>
      </c>
      <c r="S3" s="97"/>
      <c r="T3" s="97"/>
      <c r="U3" s="97"/>
      <c r="V3" s="97"/>
      <c r="W3" s="97"/>
      <c r="X3" s="97"/>
      <c r="Y3" s="97"/>
      <c r="Z3" s="97"/>
    </row>
    <row r="4" ht="18.0" customHeight="1">
      <c r="A4" s="98" t="s">
        <v>239</v>
      </c>
      <c r="B4" s="127">
        <f>COUNTA(A12:A862)-1</f>
        <v>12</v>
      </c>
      <c r="C4" s="5"/>
      <c r="D4" s="5"/>
      <c r="E4" s="100"/>
      <c r="F4" s="94"/>
      <c r="G4" s="95"/>
      <c r="H4" s="40"/>
      <c r="I4" s="94"/>
      <c r="J4" s="95"/>
      <c r="K4" s="40"/>
      <c r="L4" s="94"/>
      <c r="M4" s="95"/>
      <c r="N4" s="40"/>
      <c r="O4" s="40"/>
      <c r="P4" s="40"/>
      <c r="Q4" s="96"/>
      <c r="R4" s="97" t="s">
        <v>229</v>
      </c>
      <c r="S4" s="97"/>
      <c r="T4" s="97"/>
      <c r="U4" s="97"/>
      <c r="V4" s="97"/>
      <c r="W4" s="97"/>
      <c r="X4" s="97"/>
      <c r="Y4" s="97"/>
      <c r="Z4" s="97"/>
    </row>
    <row r="5" ht="19.5" customHeight="1">
      <c r="A5" s="101" t="s">
        <v>240</v>
      </c>
      <c r="B5" s="102" t="s">
        <v>227</v>
      </c>
      <c r="C5" s="102" t="s">
        <v>228</v>
      </c>
      <c r="D5" s="102" t="s">
        <v>229</v>
      </c>
      <c r="E5" s="103" t="s">
        <v>230</v>
      </c>
      <c r="F5" s="104"/>
      <c r="G5" s="104"/>
      <c r="H5" s="105"/>
      <c r="I5" s="104"/>
      <c r="J5" s="104"/>
      <c r="K5" s="105"/>
      <c r="L5" s="104"/>
      <c r="M5" s="104"/>
      <c r="N5" s="105"/>
      <c r="O5" s="105"/>
      <c r="P5" s="105"/>
      <c r="Q5" s="106"/>
      <c r="R5" s="97" t="s">
        <v>230</v>
      </c>
      <c r="S5" s="97"/>
      <c r="T5" s="97"/>
      <c r="U5" s="97"/>
      <c r="V5" s="97"/>
      <c r="W5" s="97"/>
      <c r="X5" s="97"/>
      <c r="Y5" s="97"/>
      <c r="Z5" s="97"/>
    </row>
    <row r="6" ht="15.0" customHeight="1">
      <c r="A6" s="101" t="s">
        <v>241</v>
      </c>
      <c r="B6" s="107">
        <f t="shared" ref="B6:E6" si="1">COUNTIF($F10:$F860,B5)</f>
        <v>11</v>
      </c>
      <c r="C6" s="107">
        <f t="shared" si="1"/>
        <v>1</v>
      </c>
      <c r="D6" s="107">
        <f t="shared" si="1"/>
        <v>0</v>
      </c>
      <c r="E6" s="108">
        <f t="shared" si="1"/>
        <v>0</v>
      </c>
      <c r="F6" s="109"/>
      <c r="G6" s="109"/>
      <c r="H6" s="105"/>
      <c r="I6" s="109"/>
      <c r="J6" s="109"/>
      <c r="K6" s="105"/>
      <c r="L6" s="109"/>
      <c r="M6" s="109"/>
      <c r="N6" s="105"/>
      <c r="O6" s="105"/>
      <c r="P6" s="105"/>
      <c r="Q6" s="106"/>
      <c r="R6" s="97"/>
      <c r="S6" s="97"/>
      <c r="T6" s="97"/>
      <c r="U6" s="97"/>
      <c r="V6" s="97"/>
      <c r="W6" s="97"/>
      <c r="X6" s="97"/>
      <c r="Y6" s="97"/>
      <c r="Z6" s="97"/>
    </row>
    <row r="7" ht="15.0" customHeight="1">
      <c r="A7" s="101" t="s">
        <v>242</v>
      </c>
      <c r="B7" s="107">
        <f>COUNTIF($I10:$I796,B5)</f>
        <v>9</v>
      </c>
      <c r="C7" s="107">
        <f>COUNTIF($I10:$FI796,C5)</f>
        <v>4</v>
      </c>
      <c r="D7" s="107">
        <f t="shared" ref="D7:E7" si="2">COUNTIF($F10:$F860,D5)</f>
        <v>0</v>
      </c>
      <c r="E7" s="108">
        <f t="shared" si="2"/>
        <v>0</v>
      </c>
      <c r="F7" s="109"/>
      <c r="G7" s="109"/>
      <c r="H7" s="105"/>
      <c r="I7" s="109"/>
      <c r="J7" s="109"/>
      <c r="K7" s="105"/>
      <c r="L7" s="109"/>
      <c r="M7" s="109"/>
      <c r="N7" s="105"/>
      <c r="O7" s="105"/>
      <c r="P7" s="105"/>
      <c r="Q7" s="106"/>
      <c r="R7" s="97"/>
      <c r="S7" s="97"/>
      <c r="T7" s="97"/>
      <c r="U7" s="97"/>
      <c r="V7" s="97"/>
      <c r="W7" s="97"/>
      <c r="X7" s="97"/>
      <c r="Y7" s="97"/>
      <c r="Z7" s="97"/>
    </row>
    <row r="8" ht="15.0" customHeight="1">
      <c r="A8" s="110" t="s">
        <v>243</v>
      </c>
      <c r="B8" s="111">
        <f t="shared" ref="B8:C8" si="3">COUNTIF($L10:$L796,B5)</f>
        <v>10</v>
      </c>
      <c r="C8" s="111">
        <f t="shared" si="3"/>
        <v>2</v>
      </c>
      <c r="D8" s="111">
        <f t="shared" ref="D8:E8" si="4">COUNTIF($F10:$F860,D5)</f>
        <v>0</v>
      </c>
      <c r="E8" s="112">
        <f t="shared" si="4"/>
        <v>0</v>
      </c>
      <c r="F8" s="109"/>
      <c r="G8" s="109"/>
      <c r="H8" s="105"/>
      <c r="I8" s="109"/>
      <c r="J8" s="109"/>
      <c r="K8" s="105"/>
      <c r="L8" s="109"/>
      <c r="M8" s="109"/>
      <c r="N8" s="105"/>
      <c r="O8" s="105"/>
      <c r="P8" s="105"/>
      <c r="Q8" s="106"/>
      <c r="R8" s="97"/>
      <c r="S8" s="97"/>
      <c r="T8" s="97"/>
      <c r="U8" s="97"/>
      <c r="V8" s="97"/>
      <c r="W8" s="97"/>
      <c r="X8" s="97"/>
      <c r="Y8" s="97"/>
      <c r="Z8" s="97"/>
    </row>
    <row r="9" ht="15.0" customHeight="1">
      <c r="A9" s="105"/>
      <c r="B9" s="105"/>
      <c r="C9" s="105"/>
      <c r="D9" s="105"/>
      <c r="E9" s="105"/>
      <c r="F9" s="88"/>
      <c r="G9" s="105"/>
      <c r="H9" s="105"/>
      <c r="I9" s="88"/>
      <c r="J9" s="105"/>
      <c r="K9" s="105"/>
      <c r="L9" s="88"/>
      <c r="M9" s="105"/>
      <c r="N9" s="105"/>
      <c r="O9" s="105"/>
      <c r="P9" s="105"/>
      <c r="Q9" s="106"/>
      <c r="R9" s="97"/>
      <c r="S9" s="97"/>
      <c r="T9" s="97"/>
      <c r="U9" s="97"/>
      <c r="V9" s="97"/>
      <c r="W9" s="97"/>
      <c r="X9" s="97"/>
      <c r="Y9" s="97"/>
      <c r="Z9" s="97"/>
    </row>
    <row r="10" ht="25.5" customHeight="1">
      <c r="A10" s="114" t="s">
        <v>244</v>
      </c>
      <c r="B10" s="114" t="s">
        <v>245</v>
      </c>
      <c r="C10" s="114" t="s">
        <v>246</v>
      </c>
      <c r="D10" s="114" t="s">
        <v>247</v>
      </c>
      <c r="E10" s="114" t="s">
        <v>248</v>
      </c>
      <c r="F10" s="114" t="s">
        <v>241</v>
      </c>
      <c r="G10" s="114" t="s">
        <v>249</v>
      </c>
      <c r="H10" s="114" t="s">
        <v>250</v>
      </c>
      <c r="I10" s="114" t="s">
        <v>242</v>
      </c>
      <c r="J10" s="114" t="s">
        <v>249</v>
      </c>
      <c r="K10" s="114" t="s">
        <v>250</v>
      </c>
      <c r="L10" s="114" t="s">
        <v>243</v>
      </c>
      <c r="M10" s="114" t="s">
        <v>249</v>
      </c>
      <c r="N10" s="114" t="s">
        <v>250</v>
      </c>
      <c r="O10" s="114" t="s">
        <v>251</v>
      </c>
      <c r="P10" s="97"/>
      <c r="Q10" s="115"/>
      <c r="R10" s="97"/>
      <c r="S10" s="97"/>
      <c r="T10" s="97"/>
      <c r="U10" s="97"/>
      <c r="V10" s="97"/>
      <c r="W10" s="97"/>
      <c r="X10" s="97"/>
      <c r="Y10" s="97"/>
      <c r="Z10" s="97"/>
    </row>
    <row r="11" ht="15.75" customHeight="1">
      <c r="A11" s="116" t="s">
        <v>979</v>
      </c>
      <c r="B11" s="117"/>
      <c r="C11" s="117"/>
      <c r="D11" s="117"/>
      <c r="E11" s="117"/>
      <c r="F11" s="117"/>
      <c r="G11" s="117"/>
      <c r="H11" s="117"/>
      <c r="I11" s="117"/>
      <c r="J11" s="117"/>
      <c r="K11" s="117"/>
      <c r="L11" s="117"/>
      <c r="M11" s="117"/>
      <c r="N11" s="117"/>
      <c r="O11" s="117"/>
      <c r="P11" s="118"/>
      <c r="Q11" s="119"/>
      <c r="R11" s="97"/>
      <c r="S11" s="97"/>
      <c r="T11" s="97"/>
      <c r="U11" s="97"/>
      <c r="V11" s="97"/>
      <c r="W11" s="97"/>
      <c r="X11" s="97"/>
      <c r="Y11" s="97"/>
      <c r="Z11" s="97"/>
    </row>
    <row r="12" ht="120.75" customHeight="1" outlineLevel="1">
      <c r="A12" s="120" t="s">
        <v>2802</v>
      </c>
      <c r="B12" s="128" t="s">
        <v>2803</v>
      </c>
      <c r="C12" s="129" t="s">
        <v>2804</v>
      </c>
      <c r="D12" s="129" t="s">
        <v>2805</v>
      </c>
      <c r="E12" s="129" t="s">
        <v>2806</v>
      </c>
      <c r="F12" s="120" t="s">
        <v>227</v>
      </c>
      <c r="G12" s="122">
        <v>45935.0</v>
      </c>
      <c r="H12" s="120" t="s">
        <v>259</v>
      </c>
      <c r="I12" s="120" t="s">
        <v>227</v>
      </c>
      <c r="J12" s="130">
        <v>45971.0</v>
      </c>
      <c r="K12" s="120" t="s">
        <v>782</v>
      </c>
      <c r="L12" s="120" t="s">
        <v>227</v>
      </c>
      <c r="M12" s="130">
        <v>46004.0</v>
      </c>
      <c r="N12" s="120" t="s">
        <v>782</v>
      </c>
      <c r="O12" s="123"/>
      <c r="P12" s="131"/>
      <c r="Q12" s="124"/>
      <c r="R12" s="132"/>
      <c r="S12" s="132"/>
      <c r="T12" s="132"/>
      <c r="U12" s="132"/>
      <c r="V12" s="132"/>
      <c r="W12" s="132"/>
      <c r="X12" s="132"/>
      <c r="Y12" s="132"/>
      <c r="Z12" s="132"/>
    </row>
    <row r="13" ht="12.75" customHeight="1" outlineLevel="1">
      <c r="A13" s="120" t="s">
        <v>2807</v>
      </c>
      <c r="B13" s="120" t="s">
        <v>2808</v>
      </c>
      <c r="C13" s="120" t="s">
        <v>2809</v>
      </c>
      <c r="D13" s="121" t="s">
        <v>2810</v>
      </c>
      <c r="E13" s="121" t="s">
        <v>2811</v>
      </c>
      <c r="F13" s="120" t="s">
        <v>228</v>
      </c>
      <c r="G13" s="122">
        <v>45935.0</v>
      </c>
      <c r="H13" s="120" t="s">
        <v>259</v>
      </c>
      <c r="I13" s="120" t="s">
        <v>228</v>
      </c>
      <c r="J13" s="130">
        <v>45971.0</v>
      </c>
      <c r="K13" s="120" t="s">
        <v>782</v>
      </c>
      <c r="L13" s="120" t="s">
        <v>227</v>
      </c>
      <c r="M13" s="130">
        <v>46004.0</v>
      </c>
      <c r="N13" s="120" t="s">
        <v>782</v>
      </c>
      <c r="O13" s="123"/>
      <c r="P13" s="57"/>
      <c r="Q13" s="124"/>
      <c r="R13" s="10"/>
      <c r="S13" s="10"/>
      <c r="T13" s="10"/>
      <c r="U13" s="10"/>
      <c r="V13" s="10"/>
      <c r="W13" s="10"/>
      <c r="X13" s="10"/>
      <c r="Y13" s="10"/>
      <c r="Z13" s="10"/>
    </row>
    <row r="14" ht="12.75" customHeight="1" outlineLevel="1">
      <c r="A14" s="120" t="s">
        <v>2812</v>
      </c>
      <c r="B14" s="120" t="s">
        <v>2813</v>
      </c>
      <c r="C14" s="120" t="s">
        <v>2814</v>
      </c>
      <c r="D14" s="121" t="s">
        <v>2815</v>
      </c>
      <c r="E14" s="121" t="s">
        <v>2816</v>
      </c>
      <c r="F14" s="120" t="s">
        <v>227</v>
      </c>
      <c r="G14" s="122">
        <v>45935.0</v>
      </c>
      <c r="H14" s="120" t="s">
        <v>259</v>
      </c>
      <c r="I14" s="120" t="s">
        <v>228</v>
      </c>
      <c r="J14" s="130">
        <v>45971.0</v>
      </c>
      <c r="K14" s="120" t="s">
        <v>782</v>
      </c>
      <c r="L14" s="120" t="s">
        <v>227</v>
      </c>
      <c r="M14" s="130">
        <v>46004.0</v>
      </c>
      <c r="N14" s="120" t="s">
        <v>782</v>
      </c>
      <c r="O14" s="123"/>
      <c r="P14" s="57"/>
      <c r="Q14" s="124"/>
      <c r="R14" s="10"/>
      <c r="S14" s="10"/>
      <c r="T14" s="10"/>
      <c r="U14" s="10"/>
      <c r="V14" s="10"/>
      <c r="W14" s="10"/>
      <c r="X14" s="10"/>
      <c r="Y14" s="10"/>
      <c r="Z14" s="10"/>
    </row>
    <row r="15" ht="12.75" customHeight="1" outlineLevel="1">
      <c r="A15" s="120" t="s">
        <v>2817</v>
      </c>
      <c r="B15" s="120" t="s">
        <v>2816</v>
      </c>
      <c r="C15" s="120" t="s">
        <v>2818</v>
      </c>
      <c r="D15" s="121" t="s">
        <v>2819</v>
      </c>
      <c r="E15" s="121" t="s">
        <v>2820</v>
      </c>
      <c r="F15" s="120" t="s">
        <v>227</v>
      </c>
      <c r="G15" s="122">
        <v>45935.0</v>
      </c>
      <c r="H15" s="120" t="s">
        <v>259</v>
      </c>
      <c r="I15" s="120" t="s">
        <v>227</v>
      </c>
      <c r="J15" s="130">
        <v>45971.0</v>
      </c>
      <c r="K15" s="120" t="s">
        <v>782</v>
      </c>
      <c r="L15" s="120" t="s">
        <v>227</v>
      </c>
      <c r="M15" s="130">
        <v>46004.0</v>
      </c>
      <c r="N15" s="120" t="s">
        <v>782</v>
      </c>
      <c r="O15" s="123"/>
      <c r="P15" s="57"/>
      <c r="Q15" s="124"/>
      <c r="R15" s="10"/>
      <c r="S15" s="10"/>
      <c r="T15" s="10"/>
      <c r="U15" s="10"/>
      <c r="V15" s="10"/>
      <c r="W15" s="10"/>
      <c r="X15" s="10"/>
      <c r="Y15" s="10"/>
      <c r="Z15" s="10"/>
    </row>
    <row r="16" ht="12.75" customHeight="1" outlineLevel="1">
      <c r="A16" s="120" t="s">
        <v>2821</v>
      </c>
      <c r="B16" s="120" t="s">
        <v>2822</v>
      </c>
      <c r="C16" s="120" t="s">
        <v>2823</v>
      </c>
      <c r="D16" s="121" t="s">
        <v>2824</v>
      </c>
      <c r="E16" s="121" t="s">
        <v>2825</v>
      </c>
      <c r="F16" s="120" t="s">
        <v>227</v>
      </c>
      <c r="G16" s="122">
        <v>45935.0</v>
      </c>
      <c r="H16" s="120" t="s">
        <v>259</v>
      </c>
      <c r="I16" s="120" t="s">
        <v>227</v>
      </c>
      <c r="J16" s="130">
        <v>45971.0</v>
      </c>
      <c r="K16" s="120" t="s">
        <v>782</v>
      </c>
      <c r="L16" s="120" t="s">
        <v>227</v>
      </c>
      <c r="M16" s="130">
        <v>46004.0</v>
      </c>
      <c r="N16" s="120" t="s">
        <v>782</v>
      </c>
      <c r="O16" s="123"/>
      <c r="P16" s="57"/>
      <c r="Q16" s="124"/>
      <c r="R16" s="10"/>
      <c r="S16" s="10"/>
      <c r="T16" s="10"/>
      <c r="U16" s="10"/>
      <c r="V16" s="10"/>
      <c r="W16" s="10"/>
      <c r="X16" s="10"/>
      <c r="Y16" s="10"/>
      <c r="Z16" s="10"/>
    </row>
    <row r="17" ht="15.75" customHeight="1">
      <c r="A17" s="116" t="s">
        <v>2826</v>
      </c>
      <c r="B17" s="117"/>
      <c r="C17" s="117"/>
      <c r="D17" s="117"/>
      <c r="E17" s="117"/>
      <c r="F17" s="117"/>
      <c r="G17" s="117"/>
      <c r="H17" s="117"/>
      <c r="I17" s="117"/>
      <c r="J17" s="117"/>
      <c r="K17" s="117"/>
      <c r="L17" s="117"/>
      <c r="M17" s="117"/>
      <c r="N17" s="117"/>
      <c r="O17" s="117"/>
      <c r="P17" s="118"/>
      <c r="Q17" s="119"/>
      <c r="R17" s="97"/>
      <c r="S17" s="97"/>
      <c r="T17" s="97"/>
      <c r="U17" s="97"/>
      <c r="V17" s="97"/>
      <c r="W17" s="97"/>
      <c r="X17" s="97"/>
      <c r="Y17" s="97"/>
      <c r="Z17" s="97"/>
    </row>
    <row r="18" ht="12.75" customHeight="1" outlineLevel="1">
      <c r="A18" s="120" t="s">
        <v>2827</v>
      </c>
      <c r="B18" s="120" t="s">
        <v>2828</v>
      </c>
      <c r="C18" s="120" t="s">
        <v>2829</v>
      </c>
      <c r="D18" s="120" t="s">
        <v>2830</v>
      </c>
      <c r="E18" s="120" t="s">
        <v>2831</v>
      </c>
      <c r="F18" s="120" t="s">
        <v>227</v>
      </c>
      <c r="G18" s="122">
        <v>45935.0</v>
      </c>
      <c r="H18" s="120" t="s">
        <v>259</v>
      </c>
      <c r="I18" s="120" t="s">
        <v>227</v>
      </c>
      <c r="J18" s="130">
        <v>45971.0</v>
      </c>
      <c r="K18" s="120" t="s">
        <v>782</v>
      </c>
      <c r="L18" s="120" t="s">
        <v>227</v>
      </c>
      <c r="M18" s="130">
        <v>46004.0</v>
      </c>
      <c r="N18" s="120" t="s">
        <v>782</v>
      </c>
      <c r="O18" s="123"/>
      <c r="P18" s="57"/>
      <c r="Q18" s="124"/>
      <c r="R18" s="10"/>
      <c r="S18" s="10"/>
      <c r="T18" s="10"/>
      <c r="U18" s="10"/>
      <c r="V18" s="10"/>
      <c r="W18" s="10"/>
      <c r="X18" s="10"/>
      <c r="Y18" s="10"/>
      <c r="Z18" s="10"/>
    </row>
    <row r="19" ht="12.75" customHeight="1" outlineLevel="1">
      <c r="A19" s="120" t="s">
        <v>2832</v>
      </c>
      <c r="B19" s="120" t="s">
        <v>2833</v>
      </c>
      <c r="C19" s="120" t="s">
        <v>2834</v>
      </c>
      <c r="D19" s="120" t="s">
        <v>2835</v>
      </c>
      <c r="E19" s="120" t="s">
        <v>2836</v>
      </c>
      <c r="F19" s="120" t="s">
        <v>227</v>
      </c>
      <c r="G19" s="122">
        <v>45935.0</v>
      </c>
      <c r="H19" s="120" t="s">
        <v>259</v>
      </c>
      <c r="I19" s="120" t="s">
        <v>227</v>
      </c>
      <c r="J19" s="130">
        <v>45971.0</v>
      </c>
      <c r="K19" s="120" t="s">
        <v>782</v>
      </c>
      <c r="L19" s="120" t="s">
        <v>227</v>
      </c>
      <c r="M19" s="130">
        <v>46004.0</v>
      </c>
      <c r="N19" s="120" t="s">
        <v>782</v>
      </c>
      <c r="O19" s="79"/>
      <c r="P19" s="57"/>
      <c r="Q19" s="89"/>
      <c r="R19" s="10"/>
      <c r="S19" s="10"/>
      <c r="T19" s="10"/>
      <c r="U19" s="10"/>
      <c r="V19" s="10"/>
      <c r="W19" s="10"/>
      <c r="X19" s="10"/>
      <c r="Y19" s="10"/>
      <c r="Z19" s="10"/>
    </row>
    <row r="20" ht="12.75" customHeight="1" outlineLevel="1">
      <c r="A20" s="120" t="s">
        <v>2837</v>
      </c>
      <c r="B20" s="120" t="s">
        <v>2838</v>
      </c>
      <c r="C20" s="120" t="s">
        <v>2839</v>
      </c>
      <c r="D20" s="120" t="s">
        <v>2840</v>
      </c>
      <c r="E20" s="120" t="s">
        <v>2841</v>
      </c>
      <c r="F20" s="120" t="s">
        <v>227</v>
      </c>
      <c r="G20" s="122">
        <v>45935.0</v>
      </c>
      <c r="H20" s="120" t="s">
        <v>259</v>
      </c>
      <c r="I20" s="120" t="s">
        <v>227</v>
      </c>
      <c r="J20" s="130">
        <v>45971.0</v>
      </c>
      <c r="K20" s="120" t="s">
        <v>782</v>
      </c>
      <c r="L20" s="120" t="s">
        <v>227</v>
      </c>
      <c r="M20" s="130">
        <v>46004.0</v>
      </c>
      <c r="N20" s="120" t="s">
        <v>782</v>
      </c>
      <c r="O20" s="79"/>
      <c r="P20" s="57"/>
      <c r="Q20" s="89"/>
      <c r="R20" s="10"/>
      <c r="S20" s="10"/>
      <c r="T20" s="10"/>
      <c r="U20" s="10"/>
      <c r="V20" s="10"/>
      <c r="W20" s="10"/>
      <c r="X20" s="10"/>
      <c r="Y20" s="10"/>
      <c r="Z20" s="10"/>
    </row>
    <row r="21" ht="12.75" customHeight="1">
      <c r="A21" s="120" t="s">
        <v>2842</v>
      </c>
      <c r="B21" s="120" t="s">
        <v>2843</v>
      </c>
      <c r="C21" s="120" t="s">
        <v>2844</v>
      </c>
      <c r="D21" s="120" t="s">
        <v>2845</v>
      </c>
      <c r="E21" s="120" t="s">
        <v>2846</v>
      </c>
      <c r="F21" s="120" t="s">
        <v>227</v>
      </c>
      <c r="G21" s="122">
        <v>45935.0</v>
      </c>
      <c r="H21" s="120" t="s">
        <v>259</v>
      </c>
      <c r="I21" s="120" t="s">
        <v>227</v>
      </c>
      <c r="J21" s="130">
        <v>45971.0</v>
      </c>
      <c r="K21" s="120" t="s">
        <v>782</v>
      </c>
      <c r="L21" s="120" t="s">
        <v>227</v>
      </c>
      <c r="M21" s="130">
        <v>46004.0</v>
      </c>
      <c r="N21" s="120" t="s">
        <v>782</v>
      </c>
      <c r="O21" s="123"/>
      <c r="P21" s="57"/>
      <c r="Q21" s="89"/>
      <c r="R21" s="10"/>
      <c r="S21" s="10"/>
      <c r="T21" s="10"/>
      <c r="U21" s="10"/>
      <c r="V21" s="10"/>
      <c r="W21" s="10"/>
      <c r="X21" s="10"/>
      <c r="Y21" s="10"/>
      <c r="Z21" s="10"/>
    </row>
    <row r="22" ht="12.75" customHeight="1">
      <c r="A22" s="120" t="s">
        <v>2847</v>
      </c>
      <c r="B22" s="120" t="s">
        <v>2848</v>
      </c>
      <c r="C22" s="120" t="s">
        <v>2849</v>
      </c>
      <c r="D22" s="120" t="s">
        <v>2850</v>
      </c>
      <c r="E22" s="120" t="s">
        <v>2851</v>
      </c>
      <c r="F22" s="120" t="s">
        <v>227</v>
      </c>
      <c r="G22" s="122">
        <v>45935.0</v>
      </c>
      <c r="H22" s="120" t="s">
        <v>259</v>
      </c>
      <c r="I22" s="120" t="s">
        <v>227</v>
      </c>
      <c r="J22" s="130">
        <v>45971.0</v>
      </c>
      <c r="K22" s="120" t="s">
        <v>782</v>
      </c>
      <c r="L22" s="120" t="s">
        <v>228</v>
      </c>
      <c r="M22" s="130">
        <v>46004.0</v>
      </c>
      <c r="N22" s="120" t="s">
        <v>782</v>
      </c>
      <c r="O22" s="79"/>
      <c r="P22" s="57"/>
      <c r="Q22" s="89"/>
      <c r="R22" s="10"/>
      <c r="S22" s="10"/>
      <c r="T22" s="10"/>
      <c r="U22" s="10"/>
      <c r="V22" s="10"/>
      <c r="W22" s="10"/>
      <c r="X22" s="10"/>
      <c r="Y22" s="10"/>
      <c r="Z22" s="10"/>
    </row>
    <row r="23" ht="12.75" customHeight="1">
      <c r="A23" s="120" t="s">
        <v>2852</v>
      </c>
      <c r="B23" s="120" t="s">
        <v>2853</v>
      </c>
      <c r="C23" s="120" t="s">
        <v>2854</v>
      </c>
      <c r="D23" s="120" t="s">
        <v>2855</v>
      </c>
      <c r="E23" s="120" t="s">
        <v>2856</v>
      </c>
      <c r="F23" s="120" t="s">
        <v>227</v>
      </c>
      <c r="G23" s="122">
        <v>45935.0</v>
      </c>
      <c r="H23" s="120" t="s">
        <v>259</v>
      </c>
      <c r="I23" s="120" t="s">
        <v>230</v>
      </c>
      <c r="J23" s="130">
        <v>45971.0</v>
      </c>
      <c r="K23" s="120" t="s">
        <v>782</v>
      </c>
      <c r="L23" s="120" t="s">
        <v>227</v>
      </c>
      <c r="M23" s="130">
        <v>46004.0</v>
      </c>
      <c r="N23" s="120" t="s">
        <v>782</v>
      </c>
      <c r="O23" s="79"/>
      <c r="P23" s="57"/>
      <c r="Q23" s="89"/>
      <c r="R23" s="10"/>
      <c r="S23" s="10"/>
      <c r="T23" s="10"/>
      <c r="U23" s="10"/>
      <c r="V23" s="10"/>
      <c r="W23" s="10"/>
      <c r="X23" s="10"/>
      <c r="Y23" s="10"/>
      <c r="Z23" s="10"/>
    </row>
    <row r="24" ht="12.75" customHeight="1">
      <c r="A24" s="120" t="s">
        <v>2857</v>
      </c>
      <c r="B24" s="120" t="s">
        <v>2858</v>
      </c>
      <c r="C24" s="120" t="s">
        <v>2859</v>
      </c>
      <c r="D24" s="120" t="s">
        <v>2860</v>
      </c>
      <c r="E24" s="120" t="s">
        <v>1002</v>
      </c>
      <c r="F24" s="120" t="s">
        <v>227</v>
      </c>
      <c r="G24" s="122">
        <v>45935.0</v>
      </c>
      <c r="H24" s="120" t="s">
        <v>259</v>
      </c>
      <c r="I24" s="120" t="s">
        <v>227</v>
      </c>
      <c r="J24" s="130">
        <v>45971.0</v>
      </c>
      <c r="K24" s="120" t="s">
        <v>782</v>
      </c>
      <c r="L24" s="120" t="s">
        <v>228</v>
      </c>
      <c r="M24" s="130">
        <v>46004.0</v>
      </c>
      <c r="N24" s="120" t="s">
        <v>782</v>
      </c>
      <c r="O24" s="79"/>
      <c r="P24" s="57"/>
      <c r="Q24" s="89"/>
      <c r="R24" s="10"/>
      <c r="S24" s="10"/>
      <c r="T24" s="10"/>
      <c r="U24" s="10"/>
      <c r="V24" s="10"/>
      <c r="W24" s="10"/>
      <c r="X24" s="10"/>
      <c r="Y24" s="10"/>
      <c r="Z24" s="10"/>
    </row>
    <row r="25" ht="12.75" customHeight="1">
      <c r="A25" s="84"/>
      <c r="B25" s="84"/>
      <c r="C25" s="84"/>
      <c r="D25" s="84"/>
      <c r="E25" s="84"/>
      <c r="F25" s="84"/>
      <c r="G25" s="84"/>
      <c r="H25" s="84"/>
      <c r="I25" s="84"/>
      <c r="J25" s="84"/>
      <c r="K25" s="84"/>
      <c r="L25" s="84"/>
      <c r="M25" s="84"/>
      <c r="N25" s="84"/>
      <c r="O25" s="84"/>
      <c r="P25" s="10"/>
      <c r="Q25" s="89"/>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89"/>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89"/>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89"/>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89"/>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89"/>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89"/>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89"/>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89"/>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89"/>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89"/>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89"/>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89"/>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89"/>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89"/>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89"/>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89"/>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89"/>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8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8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8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8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8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8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8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8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8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8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8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8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8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8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8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8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8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8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8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8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8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8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8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8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8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8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8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8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8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8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8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8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8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8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8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8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8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8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8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8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8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8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8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8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8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8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8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8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8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8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8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8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8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8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8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8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8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8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8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8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8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8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8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8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8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8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8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8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8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8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8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8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8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8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8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8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8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8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8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8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8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8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8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8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8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8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8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8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8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8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8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8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8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8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8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8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8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8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8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8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8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8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8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8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8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8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8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8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8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8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8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8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8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8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8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8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8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8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8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8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8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8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8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8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8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8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8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8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8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8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8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8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8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8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8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8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8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8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8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8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8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8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8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8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8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8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8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8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8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8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8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8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8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8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8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8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8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8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8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8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8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8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8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8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8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8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8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8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8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8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8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8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8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8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8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8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8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8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8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8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8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8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8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8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8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8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8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8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8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8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8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8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8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8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8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8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8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8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8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8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8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8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8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8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8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8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8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8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8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8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8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8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8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8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8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8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8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8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8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8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8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8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8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8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8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8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8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8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8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8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8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8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8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8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8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8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8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8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8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8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8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8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8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8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8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8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8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8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8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8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8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8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8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8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8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8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8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8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8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8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8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8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8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8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8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8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8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8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8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8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8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8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8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8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8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8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8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8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8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8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8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8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8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8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8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8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8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8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8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8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8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8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8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8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8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8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8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8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8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8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8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8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8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8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8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8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8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8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8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8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8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8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8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8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8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8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8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8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8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8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8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8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8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8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8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8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8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8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8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8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8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8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8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8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8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8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8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8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8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8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8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8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8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8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8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8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8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8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8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8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8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8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8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8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8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8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8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8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8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8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8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8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8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8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8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8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8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8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8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8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8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8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8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8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8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8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8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8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8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8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8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8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8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8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8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8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8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8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8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8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8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8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8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8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8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8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8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8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8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8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8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8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8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8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8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8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8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8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8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8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8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8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8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8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8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8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8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8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8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8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8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8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8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8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8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8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8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8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8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8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8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8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8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8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8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8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8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8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8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8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8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8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8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8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8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8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8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8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8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8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8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8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8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8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8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8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8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8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8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8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8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8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8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8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8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8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8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8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8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8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8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8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8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8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8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8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8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8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8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8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8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8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8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8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8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8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8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8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8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8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8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8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8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8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8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8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8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8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8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8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8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8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8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8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8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8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8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8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8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8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8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8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8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8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8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8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8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8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8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8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8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8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8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8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8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8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8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8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8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8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8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8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8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8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8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8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8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8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8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8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8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8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8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8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8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8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8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8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8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8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8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8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8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8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8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8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8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8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8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8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8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8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8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8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8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8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8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8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8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8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8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8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8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8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8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8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8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8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8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8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8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8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8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8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8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8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8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8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8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8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8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8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8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8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8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8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8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8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8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8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8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8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8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8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8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8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8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8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8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8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8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8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8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8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8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8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8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8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8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8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8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8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8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8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8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8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8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8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8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8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8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8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8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8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8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8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8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8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8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8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8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8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8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8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8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8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8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8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8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8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8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8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8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8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8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8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8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8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8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8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8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8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8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8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8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8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8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8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8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8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8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8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8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8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8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8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8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8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8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8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8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8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8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8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8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8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8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8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8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8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8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8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8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8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8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8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8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8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8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8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8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8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8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8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8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8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8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8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8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8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8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8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8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8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8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8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8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8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8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8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8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8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8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8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8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8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8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8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8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8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8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8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8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8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8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8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8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8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8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8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8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8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8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8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8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8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8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8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8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8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8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8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8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8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8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8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8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8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8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8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8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8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8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8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8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8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8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8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8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8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8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8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8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8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8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8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8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8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8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8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8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8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8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8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8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8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8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8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8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8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8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8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8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8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8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8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8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8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8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8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8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8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8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8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8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8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8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8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8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8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8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8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8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8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8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8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8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8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8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8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8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89"/>
      <c r="R864" s="10"/>
      <c r="S864" s="10"/>
      <c r="T864" s="10"/>
      <c r="U864" s="10"/>
      <c r="V864" s="10"/>
      <c r="W864" s="10"/>
      <c r="X864" s="10"/>
      <c r="Y864" s="10"/>
      <c r="Z864" s="10"/>
    </row>
  </sheetData>
  <mergeCells count="3">
    <mergeCell ref="B2:E2"/>
    <mergeCell ref="B3:E3"/>
    <mergeCell ref="B4:E4"/>
  </mergeCells>
  <dataValidations>
    <dataValidation type="list" allowBlank="1" showErrorMessage="1" sqref="G2:G3 J2:J3 M2:M3 G9 J9 M9 F12:F24 I12:I24 L12:L24">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9.13" outlineLevel="1"/>
    <col customWidth="1" min="9" max="9" width="9.38"/>
    <col customWidth="1" min="10" max="10" width="10.63" outlineLevel="1"/>
    <col customWidth="1" min="11" max="11" width="8.5" outlineLevel="1"/>
    <col customWidth="1" min="12" max="12" width="9.38"/>
    <col customWidth="1" min="13" max="13" width="10.63" outlineLevel="1"/>
    <col customWidth="1" min="14" max="14" width="10.5"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89"/>
      <c r="R1" s="10"/>
      <c r="S1" s="10"/>
      <c r="T1" s="10"/>
      <c r="U1" s="10"/>
      <c r="V1" s="10"/>
      <c r="W1" s="10"/>
      <c r="X1" s="10"/>
      <c r="Y1" s="10"/>
      <c r="Z1" s="10"/>
    </row>
    <row r="2" ht="15.0" customHeight="1">
      <c r="A2" s="90" t="s">
        <v>236</v>
      </c>
      <c r="B2" s="91" t="s">
        <v>202</v>
      </c>
      <c r="C2" s="92"/>
      <c r="D2" s="92"/>
      <c r="E2" s="93"/>
      <c r="F2" s="94"/>
      <c r="G2" s="95"/>
      <c r="H2" s="40"/>
      <c r="I2" s="94"/>
      <c r="J2" s="95"/>
      <c r="K2" s="40"/>
      <c r="L2" s="94"/>
      <c r="M2" s="95"/>
      <c r="N2" s="40"/>
      <c r="O2" s="40"/>
      <c r="P2" s="40"/>
      <c r="Q2" s="96"/>
      <c r="R2" s="97" t="s">
        <v>227</v>
      </c>
      <c r="S2" s="97"/>
      <c r="T2" s="97"/>
      <c r="U2" s="97"/>
      <c r="V2" s="97"/>
      <c r="W2" s="97"/>
      <c r="X2" s="97"/>
      <c r="Y2" s="97"/>
      <c r="Z2" s="97"/>
    </row>
    <row r="3" ht="12.75" customHeight="1">
      <c r="A3" s="98" t="s">
        <v>237</v>
      </c>
      <c r="B3" s="99" t="s">
        <v>2861</v>
      </c>
      <c r="C3" s="5"/>
      <c r="D3" s="5"/>
      <c r="E3" s="100"/>
      <c r="F3" s="94"/>
      <c r="G3" s="95"/>
      <c r="H3" s="40"/>
      <c r="I3" s="94"/>
      <c r="J3" s="95"/>
      <c r="K3" s="40"/>
      <c r="L3" s="94"/>
      <c r="M3" s="95"/>
      <c r="N3" s="40"/>
      <c r="O3" s="40"/>
      <c r="P3" s="40"/>
      <c r="Q3" s="96"/>
      <c r="R3" s="97" t="s">
        <v>228</v>
      </c>
      <c r="S3" s="97"/>
      <c r="T3" s="97"/>
      <c r="U3" s="97"/>
      <c r="V3" s="97"/>
      <c r="W3" s="97"/>
      <c r="X3" s="97"/>
      <c r="Y3" s="97"/>
      <c r="Z3" s="97"/>
    </row>
    <row r="4" ht="18.0" customHeight="1">
      <c r="A4" s="98" t="s">
        <v>239</v>
      </c>
      <c r="B4" s="127">
        <f>COUNTA(A12:A871)-1</f>
        <v>8</v>
      </c>
      <c r="C4" s="5"/>
      <c r="D4" s="5"/>
      <c r="E4" s="100"/>
      <c r="F4" s="94"/>
      <c r="G4" s="95"/>
      <c r="H4" s="40"/>
      <c r="I4" s="94"/>
      <c r="J4" s="95"/>
      <c r="K4" s="40"/>
      <c r="L4" s="94"/>
      <c r="M4" s="95"/>
      <c r="N4" s="40"/>
      <c r="O4" s="40"/>
      <c r="P4" s="40"/>
      <c r="Q4" s="96"/>
      <c r="R4" s="97" t="s">
        <v>229</v>
      </c>
      <c r="S4" s="97"/>
      <c r="T4" s="97"/>
      <c r="U4" s="97"/>
      <c r="V4" s="97"/>
      <c r="W4" s="97"/>
      <c r="X4" s="97"/>
      <c r="Y4" s="97"/>
      <c r="Z4" s="97"/>
    </row>
    <row r="5" ht="19.5" customHeight="1">
      <c r="A5" s="101" t="s">
        <v>240</v>
      </c>
      <c r="B5" s="102" t="s">
        <v>227</v>
      </c>
      <c r="C5" s="102" t="s">
        <v>228</v>
      </c>
      <c r="D5" s="102" t="s">
        <v>229</v>
      </c>
      <c r="E5" s="103" t="s">
        <v>230</v>
      </c>
      <c r="F5" s="104"/>
      <c r="G5" s="104"/>
      <c r="H5" s="105"/>
      <c r="I5" s="104"/>
      <c r="J5" s="104"/>
      <c r="K5" s="105"/>
      <c r="L5" s="104"/>
      <c r="M5" s="104"/>
      <c r="N5" s="105"/>
      <c r="O5" s="105"/>
      <c r="P5" s="105"/>
      <c r="Q5" s="106"/>
      <c r="R5" s="97" t="s">
        <v>230</v>
      </c>
      <c r="S5" s="97"/>
      <c r="T5" s="97"/>
      <c r="U5" s="97"/>
      <c r="V5" s="97"/>
      <c r="W5" s="97"/>
      <c r="X5" s="97"/>
      <c r="Y5" s="97"/>
      <c r="Z5" s="97"/>
    </row>
    <row r="6" ht="15.0" customHeight="1">
      <c r="A6" s="101" t="s">
        <v>241</v>
      </c>
      <c r="B6" s="107">
        <f t="shared" ref="B6:E6" si="1">COUNTIF($F10:$F869,B5)</f>
        <v>7</v>
      </c>
      <c r="C6" s="107">
        <f t="shared" si="1"/>
        <v>1</v>
      </c>
      <c r="D6" s="107">
        <f t="shared" si="1"/>
        <v>0</v>
      </c>
      <c r="E6" s="108">
        <f t="shared" si="1"/>
        <v>0</v>
      </c>
      <c r="F6" s="109"/>
      <c r="G6" s="109"/>
      <c r="H6" s="105"/>
      <c r="I6" s="109"/>
      <c r="J6" s="109"/>
      <c r="K6" s="105"/>
      <c r="L6" s="109"/>
      <c r="M6" s="109"/>
      <c r="N6" s="105"/>
      <c r="O6" s="105"/>
      <c r="P6" s="105"/>
      <c r="Q6" s="106"/>
      <c r="R6" s="97"/>
      <c r="S6" s="97"/>
      <c r="T6" s="97"/>
      <c r="U6" s="97"/>
      <c r="V6" s="97"/>
      <c r="W6" s="97"/>
      <c r="X6" s="97"/>
      <c r="Y6" s="97"/>
      <c r="Z6" s="97"/>
    </row>
    <row r="7" ht="15.0" customHeight="1">
      <c r="A7" s="101" t="s">
        <v>242</v>
      </c>
      <c r="B7" s="107">
        <f>COUNTIF($I10:$I895,B5)</f>
        <v>7</v>
      </c>
      <c r="C7" s="107">
        <f>COUNTIF($I10:$FI895,C5)</f>
        <v>3</v>
      </c>
      <c r="D7" s="107">
        <f t="shared" ref="D7:E7" si="2">COUNTIF($F10:$F869,D5)</f>
        <v>0</v>
      </c>
      <c r="E7" s="108">
        <f t="shared" si="2"/>
        <v>0</v>
      </c>
      <c r="F7" s="109"/>
      <c r="G7" s="109"/>
      <c r="H7" s="105"/>
      <c r="I7" s="109"/>
      <c r="J7" s="109"/>
      <c r="K7" s="105"/>
      <c r="L7" s="109"/>
      <c r="M7" s="109"/>
      <c r="N7" s="105"/>
      <c r="O7" s="105"/>
      <c r="P7" s="105"/>
      <c r="Q7" s="106"/>
      <c r="R7" s="97"/>
      <c r="S7" s="97"/>
      <c r="T7" s="97"/>
      <c r="U7" s="97"/>
      <c r="V7" s="97"/>
      <c r="W7" s="97"/>
      <c r="X7" s="97"/>
      <c r="Y7" s="97"/>
      <c r="Z7" s="97"/>
    </row>
    <row r="8" ht="15.0" customHeight="1">
      <c r="A8" s="110" t="s">
        <v>243</v>
      </c>
      <c r="B8" s="111">
        <f t="shared" ref="B8:C8" si="3">COUNTIF($L10:$L895,B5)</f>
        <v>6</v>
      </c>
      <c r="C8" s="111">
        <f t="shared" si="3"/>
        <v>2</v>
      </c>
      <c r="D8" s="111">
        <f t="shared" ref="D8:E8" si="4">COUNTIF($F10:$F869,D5)</f>
        <v>0</v>
      </c>
      <c r="E8" s="112">
        <f t="shared" si="4"/>
        <v>0</v>
      </c>
      <c r="F8" s="109"/>
      <c r="G8" s="109"/>
      <c r="H8" s="105"/>
      <c r="I8" s="109"/>
      <c r="J8" s="109"/>
      <c r="K8" s="105"/>
      <c r="L8" s="109"/>
      <c r="M8" s="109"/>
      <c r="N8" s="105"/>
      <c r="O8" s="105"/>
      <c r="P8" s="105"/>
      <c r="Q8" s="106"/>
      <c r="R8" s="97"/>
      <c r="S8" s="97"/>
      <c r="T8" s="97"/>
      <c r="U8" s="97"/>
      <c r="V8" s="97"/>
      <c r="W8" s="97"/>
      <c r="X8" s="97"/>
      <c r="Y8" s="97"/>
      <c r="Z8" s="97"/>
    </row>
    <row r="9" ht="15.0" customHeight="1">
      <c r="A9" s="170"/>
      <c r="B9" s="170"/>
      <c r="C9" s="170"/>
      <c r="D9" s="170"/>
      <c r="E9" s="170"/>
      <c r="F9" s="171"/>
      <c r="G9" s="170"/>
      <c r="H9" s="170"/>
      <c r="I9" s="171"/>
      <c r="J9" s="170"/>
      <c r="K9" s="170"/>
      <c r="L9" s="171"/>
      <c r="M9" s="170"/>
      <c r="N9" s="170"/>
      <c r="O9" s="170"/>
      <c r="P9" s="105"/>
      <c r="Q9" s="106"/>
      <c r="R9" s="97"/>
      <c r="S9" s="97"/>
      <c r="T9" s="97"/>
      <c r="U9" s="97"/>
      <c r="V9" s="97"/>
      <c r="W9" s="97"/>
      <c r="X9" s="97"/>
      <c r="Y9" s="97"/>
      <c r="Z9" s="97"/>
    </row>
    <row r="10" ht="25.5" customHeight="1">
      <c r="A10" s="114" t="s">
        <v>244</v>
      </c>
      <c r="B10" s="114" t="s">
        <v>245</v>
      </c>
      <c r="C10" s="114" t="s">
        <v>246</v>
      </c>
      <c r="D10" s="114" t="s">
        <v>247</v>
      </c>
      <c r="E10" s="114" t="s">
        <v>248</v>
      </c>
      <c r="F10" s="114" t="s">
        <v>241</v>
      </c>
      <c r="G10" s="114" t="s">
        <v>249</v>
      </c>
      <c r="H10" s="114" t="s">
        <v>250</v>
      </c>
      <c r="I10" s="114" t="s">
        <v>242</v>
      </c>
      <c r="J10" s="114" t="s">
        <v>249</v>
      </c>
      <c r="K10" s="114" t="s">
        <v>250</v>
      </c>
      <c r="L10" s="114" t="s">
        <v>243</v>
      </c>
      <c r="M10" s="114" t="s">
        <v>249</v>
      </c>
      <c r="N10" s="114" t="s">
        <v>250</v>
      </c>
      <c r="O10" s="114" t="s">
        <v>251</v>
      </c>
      <c r="P10" s="118"/>
      <c r="Q10" s="115"/>
      <c r="R10" s="97"/>
      <c r="S10" s="97"/>
      <c r="T10" s="97"/>
      <c r="U10" s="97"/>
      <c r="V10" s="97"/>
      <c r="W10" s="97"/>
      <c r="X10" s="97"/>
      <c r="Y10" s="97"/>
      <c r="Z10" s="97"/>
    </row>
    <row r="11" ht="15.75" customHeight="1">
      <c r="A11" s="116" t="s">
        <v>201</v>
      </c>
      <c r="B11" s="117"/>
      <c r="C11" s="117"/>
      <c r="D11" s="117"/>
      <c r="E11" s="117"/>
      <c r="F11" s="117"/>
      <c r="G11" s="117"/>
      <c r="H11" s="117"/>
      <c r="I11" s="117"/>
      <c r="J11" s="117"/>
      <c r="K11" s="117"/>
      <c r="L11" s="117"/>
      <c r="M11" s="117"/>
      <c r="N11" s="117"/>
      <c r="O11" s="117"/>
      <c r="P11" s="118"/>
      <c r="Q11" s="119"/>
      <c r="R11" s="97"/>
      <c r="S11" s="97"/>
      <c r="T11" s="97"/>
      <c r="U11" s="97"/>
      <c r="V11" s="97"/>
      <c r="W11" s="97"/>
      <c r="X11" s="97"/>
      <c r="Y11" s="97"/>
      <c r="Z11" s="97"/>
    </row>
    <row r="12" ht="83.25" customHeight="1" outlineLevel="1">
      <c r="A12" s="120" t="s">
        <v>2862</v>
      </c>
      <c r="B12" s="128" t="s">
        <v>2863</v>
      </c>
      <c r="C12" s="129" t="s">
        <v>2864</v>
      </c>
      <c r="D12" s="129" t="s">
        <v>2865</v>
      </c>
      <c r="E12" s="129" t="s">
        <v>2620</v>
      </c>
      <c r="F12" s="120" t="s">
        <v>227</v>
      </c>
      <c r="G12" s="122">
        <v>45967.0</v>
      </c>
      <c r="H12" s="120" t="s">
        <v>749</v>
      </c>
      <c r="I12" s="120" t="s">
        <v>227</v>
      </c>
      <c r="J12" s="130">
        <v>45981.0</v>
      </c>
      <c r="K12" s="120" t="s">
        <v>258</v>
      </c>
      <c r="L12" s="120" t="s">
        <v>227</v>
      </c>
      <c r="M12" s="130">
        <v>46004.0</v>
      </c>
      <c r="N12" s="120" t="s">
        <v>258</v>
      </c>
      <c r="O12" s="123"/>
      <c r="P12" s="131"/>
      <c r="Q12" s="124"/>
      <c r="R12" s="132"/>
      <c r="S12" s="132"/>
      <c r="T12" s="132"/>
      <c r="U12" s="132"/>
      <c r="V12" s="132"/>
      <c r="W12" s="132"/>
      <c r="X12" s="132"/>
      <c r="Y12" s="132"/>
      <c r="Z12" s="132"/>
    </row>
    <row r="13" ht="12.75" customHeight="1" outlineLevel="1">
      <c r="A13" s="120" t="s">
        <v>2866</v>
      </c>
      <c r="B13" s="120" t="s">
        <v>2867</v>
      </c>
      <c r="C13" s="120" t="s">
        <v>2623</v>
      </c>
      <c r="D13" s="121" t="s">
        <v>2868</v>
      </c>
      <c r="E13" s="121" t="s">
        <v>2625</v>
      </c>
      <c r="F13" s="120" t="s">
        <v>228</v>
      </c>
      <c r="G13" s="122">
        <v>45967.0</v>
      </c>
      <c r="H13" s="120" t="s">
        <v>749</v>
      </c>
      <c r="I13" s="120" t="s">
        <v>227</v>
      </c>
      <c r="J13" s="130">
        <v>45981.0</v>
      </c>
      <c r="K13" s="120" t="s">
        <v>258</v>
      </c>
      <c r="L13" s="120" t="s">
        <v>227</v>
      </c>
      <c r="M13" s="130">
        <v>46004.0</v>
      </c>
      <c r="N13" s="120" t="s">
        <v>258</v>
      </c>
      <c r="O13" s="123"/>
      <c r="P13" s="57"/>
      <c r="Q13" s="124"/>
      <c r="R13" s="10"/>
      <c r="S13" s="10"/>
      <c r="T13" s="10"/>
      <c r="U13" s="10"/>
      <c r="V13" s="10"/>
      <c r="W13" s="10"/>
      <c r="X13" s="10"/>
      <c r="Y13" s="10"/>
      <c r="Z13" s="10"/>
    </row>
    <row r="14" ht="12.75" customHeight="1" outlineLevel="1">
      <c r="A14" s="120" t="s">
        <v>2869</v>
      </c>
      <c r="B14" s="120" t="s">
        <v>2870</v>
      </c>
      <c r="C14" s="120" t="s">
        <v>2649</v>
      </c>
      <c r="D14" s="121" t="s">
        <v>2871</v>
      </c>
      <c r="E14" s="121" t="s">
        <v>2630</v>
      </c>
      <c r="F14" s="120" t="s">
        <v>227</v>
      </c>
      <c r="G14" s="122">
        <v>45967.0</v>
      </c>
      <c r="H14" s="120" t="s">
        <v>749</v>
      </c>
      <c r="I14" s="120" t="s">
        <v>227</v>
      </c>
      <c r="J14" s="130">
        <v>45981.0</v>
      </c>
      <c r="K14" s="120" t="s">
        <v>258</v>
      </c>
      <c r="L14" s="120" t="s">
        <v>228</v>
      </c>
      <c r="M14" s="130">
        <v>46004.0</v>
      </c>
      <c r="N14" s="120" t="s">
        <v>258</v>
      </c>
      <c r="O14" s="123"/>
      <c r="P14" s="57"/>
      <c r="Q14" s="124"/>
      <c r="R14" s="10"/>
      <c r="S14" s="10"/>
      <c r="T14" s="10"/>
      <c r="U14" s="10"/>
      <c r="V14" s="10"/>
      <c r="W14" s="10"/>
      <c r="X14" s="10"/>
      <c r="Y14" s="10"/>
      <c r="Z14" s="10"/>
    </row>
    <row r="15" ht="12.75" customHeight="1" outlineLevel="1">
      <c r="A15" s="120" t="s">
        <v>2872</v>
      </c>
      <c r="B15" s="120" t="s">
        <v>2873</v>
      </c>
      <c r="C15" s="120" t="s">
        <v>2633</v>
      </c>
      <c r="D15" s="121" t="s">
        <v>2634</v>
      </c>
      <c r="E15" s="121" t="s">
        <v>2620</v>
      </c>
      <c r="F15" s="120" t="s">
        <v>227</v>
      </c>
      <c r="G15" s="122">
        <v>45967.0</v>
      </c>
      <c r="H15" s="120" t="s">
        <v>749</v>
      </c>
      <c r="I15" s="120" t="s">
        <v>227</v>
      </c>
      <c r="J15" s="130">
        <v>45981.0</v>
      </c>
      <c r="K15" s="120" t="s">
        <v>258</v>
      </c>
      <c r="L15" s="120" t="s">
        <v>227</v>
      </c>
      <c r="M15" s="130">
        <v>46004.0</v>
      </c>
      <c r="N15" s="120" t="s">
        <v>258</v>
      </c>
      <c r="O15" s="123"/>
      <c r="P15" s="57"/>
      <c r="Q15" s="124"/>
      <c r="R15" s="10"/>
      <c r="S15" s="10"/>
      <c r="T15" s="10"/>
      <c r="U15" s="10"/>
      <c r="V15" s="10"/>
      <c r="W15" s="10"/>
      <c r="X15" s="10"/>
      <c r="Y15" s="10"/>
      <c r="Z15" s="10"/>
    </row>
    <row r="16" ht="15.75" customHeight="1">
      <c r="A16" s="116" t="s">
        <v>204</v>
      </c>
      <c r="B16" s="117"/>
      <c r="C16" s="117"/>
      <c r="D16" s="117"/>
      <c r="E16" s="117"/>
      <c r="F16" s="117"/>
      <c r="G16" s="117"/>
      <c r="H16" s="117"/>
      <c r="I16" s="117"/>
      <c r="J16" s="117"/>
      <c r="K16" s="117"/>
      <c r="L16" s="117"/>
      <c r="M16" s="117"/>
      <c r="N16" s="117"/>
      <c r="O16" s="117"/>
      <c r="P16" s="118"/>
      <c r="Q16" s="119"/>
      <c r="R16" s="97"/>
      <c r="S16" s="97"/>
      <c r="T16" s="97"/>
      <c r="U16" s="97"/>
      <c r="V16" s="97"/>
      <c r="W16" s="97"/>
      <c r="X16" s="97"/>
      <c r="Y16" s="97"/>
      <c r="Z16" s="97"/>
    </row>
    <row r="17" ht="83.25" customHeight="1" outlineLevel="1">
      <c r="A17" s="120" t="s">
        <v>2874</v>
      </c>
      <c r="B17" s="128" t="s">
        <v>2875</v>
      </c>
      <c r="C17" s="129" t="s">
        <v>2876</v>
      </c>
      <c r="D17" s="129" t="s">
        <v>2877</v>
      </c>
      <c r="E17" s="129" t="s">
        <v>2620</v>
      </c>
      <c r="F17" s="120" t="s">
        <v>227</v>
      </c>
      <c r="G17" s="122">
        <v>45967.0</v>
      </c>
      <c r="H17" s="120" t="s">
        <v>749</v>
      </c>
      <c r="I17" s="120" t="s">
        <v>227</v>
      </c>
      <c r="J17" s="130">
        <v>45981.0</v>
      </c>
      <c r="K17" s="120" t="s">
        <v>258</v>
      </c>
      <c r="L17" s="120" t="s">
        <v>227</v>
      </c>
      <c r="M17" s="130">
        <v>46004.0</v>
      </c>
      <c r="N17" s="120" t="s">
        <v>258</v>
      </c>
      <c r="O17" s="123"/>
      <c r="P17" s="131"/>
      <c r="Q17" s="124"/>
      <c r="R17" s="132"/>
      <c r="S17" s="132"/>
      <c r="T17" s="132"/>
      <c r="U17" s="132"/>
      <c r="V17" s="132"/>
      <c r="W17" s="132"/>
      <c r="X17" s="132"/>
      <c r="Y17" s="132"/>
      <c r="Z17" s="132"/>
    </row>
    <row r="18" ht="12.75" customHeight="1" outlineLevel="1">
      <c r="A18" s="120" t="s">
        <v>2878</v>
      </c>
      <c r="B18" s="120" t="s">
        <v>2867</v>
      </c>
      <c r="C18" s="120" t="s">
        <v>2623</v>
      </c>
      <c r="D18" s="121" t="s">
        <v>2879</v>
      </c>
      <c r="E18" s="121" t="s">
        <v>2625</v>
      </c>
      <c r="F18" s="120" t="s">
        <v>227</v>
      </c>
      <c r="G18" s="122">
        <v>45967.0</v>
      </c>
      <c r="H18" s="120" t="s">
        <v>749</v>
      </c>
      <c r="I18" s="120" t="s">
        <v>227</v>
      </c>
      <c r="J18" s="130">
        <v>45981.0</v>
      </c>
      <c r="K18" s="120" t="s">
        <v>258</v>
      </c>
      <c r="L18" s="120" t="s">
        <v>227</v>
      </c>
      <c r="M18" s="130">
        <v>46004.0</v>
      </c>
      <c r="N18" s="120" t="s">
        <v>258</v>
      </c>
      <c r="O18" s="123"/>
      <c r="P18" s="57"/>
      <c r="Q18" s="124"/>
      <c r="R18" s="10"/>
      <c r="S18" s="10"/>
      <c r="T18" s="10"/>
      <c r="U18" s="10"/>
      <c r="V18" s="10"/>
      <c r="W18" s="10"/>
      <c r="X18" s="10"/>
      <c r="Y18" s="10"/>
      <c r="Z18" s="10"/>
    </row>
    <row r="19" ht="12.75" customHeight="1" outlineLevel="1">
      <c r="A19" s="120" t="s">
        <v>2880</v>
      </c>
      <c r="B19" s="120" t="s">
        <v>2881</v>
      </c>
      <c r="C19" s="120" t="s">
        <v>2649</v>
      </c>
      <c r="D19" s="121" t="s">
        <v>2871</v>
      </c>
      <c r="E19" s="121" t="s">
        <v>2630</v>
      </c>
      <c r="F19" s="120" t="s">
        <v>227</v>
      </c>
      <c r="G19" s="122">
        <v>45967.0</v>
      </c>
      <c r="H19" s="120" t="s">
        <v>749</v>
      </c>
      <c r="I19" s="120" t="s">
        <v>228</v>
      </c>
      <c r="J19" s="130">
        <v>45981.0</v>
      </c>
      <c r="K19" s="120" t="s">
        <v>258</v>
      </c>
      <c r="L19" s="120" t="s">
        <v>228</v>
      </c>
      <c r="M19" s="130">
        <v>46004.0</v>
      </c>
      <c r="N19" s="120" t="s">
        <v>258</v>
      </c>
      <c r="O19" s="123"/>
      <c r="P19" s="57"/>
      <c r="Q19" s="124"/>
      <c r="R19" s="10"/>
      <c r="S19" s="10"/>
      <c r="T19" s="10"/>
      <c r="U19" s="10"/>
      <c r="V19" s="10"/>
      <c r="W19" s="10"/>
      <c r="X19" s="10"/>
      <c r="Y19" s="10"/>
      <c r="Z19" s="10"/>
    </row>
    <row r="20" ht="12.75" customHeight="1" outlineLevel="1">
      <c r="A20" s="120" t="s">
        <v>2882</v>
      </c>
      <c r="B20" s="120" t="s">
        <v>2883</v>
      </c>
      <c r="C20" s="120" t="s">
        <v>2633</v>
      </c>
      <c r="D20" s="121" t="s">
        <v>2634</v>
      </c>
      <c r="E20" s="121" t="s">
        <v>2620</v>
      </c>
      <c r="F20" s="120" t="s">
        <v>227</v>
      </c>
      <c r="G20" s="122">
        <v>45967.0</v>
      </c>
      <c r="H20" s="120" t="s">
        <v>749</v>
      </c>
      <c r="I20" s="120" t="s">
        <v>227</v>
      </c>
      <c r="J20" s="130">
        <v>45981.0</v>
      </c>
      <c r="K20" s="120" t="s">
        <v>258</v>
      </c>
      <c r="L20" s="120" t="s">
        <v>227</v>
      </c>
      <c r="M20" s="130">
        <v>46004.0</v>
      </c>
      <c r="N20" s="120" t="s">
        <v>258</v>
      </c>
      <c r="O20" s="123"/>
      <c r="P20" s="57"/>
      <c r="Q20" s="124"/>
      <c r="R20" s="10"/>
      <c r="S20" s="10"/>
      <c r="T20" s="10"/>
      <c r="U20" s="10"/>
      <c r="V20" s="10"/>
      <c r="W20" s="10"/>
      <c r="X20" s="10"/>
      <c r="Y20" s="10"/>
      <c r="Z20" s="10"/>
    </row>
    <row r="21" ht="12.75" customHeight="1">
      <c r="A21" s="84"/>
      <c r="B21" s="84"/>
      <c r="C21" s="84"/>
      <c r="D21" s="84"/>
      <c r="E21" s="84"/>
      <c r="F21" s="84"/>
      <c r="G21" s="84"/>
      <c r="H21" s="84"/>
      <c r="I21" s="84"/>
      <c r="J21" s="84"/>
      <c r="K21" s="84"/>
      <c r="L21" s="84"/>
      <c r="M21" s="84"/>
      <c r="N21" s="84"/>
      <c r="O21" s="84"/>
      <c r="P21" s="10"/>
      <c r="Q21" s="89"/>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89"/>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89"/>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89"/>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89"/>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89"/>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89"/>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89"/>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89"/>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89"/>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89"/>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89"/>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89"/>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89"/>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89"/>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89"/>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89"/>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89"/>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89"/>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89"/>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89"/>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89"/>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89"/>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89"/>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89"/>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89"/>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89"/>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89"/>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89"/>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89"/>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89"/>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89"/>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89"/>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89"/>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89"/>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89"/>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89"/>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89"/>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89"/>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89"/>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89"/>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89"/>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89"/>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89"/>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89"/>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89"/>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89"/>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89"/>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89"/>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89"/>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89"/>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89"/>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89"/>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89"/>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89"/>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89"/>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89"/>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89"/>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89"/>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89"/>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89"/>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89"/>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89"/>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89"/>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89"/>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89"/>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89"/>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89"/>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89"/>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89"/>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89"/>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89"/>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89"/>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89"/>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89"/>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89"/>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89"/>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89"/>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89"/>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89"/>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89"/>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89"/>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89"/>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89"/>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89"/>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89"/>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89"/>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89"/>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89"/>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89"/>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89"/>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89"/>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89"/>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89"/>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89"/>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89"/>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89"/>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89"/>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89"/>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89"/>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89"/>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89"/>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89"/>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89"/>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89"/>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89"/>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89"/>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89"/>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89"/>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89"/>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89"/>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89"/>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89"/>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89"/>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89"/>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89"/>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89"/>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89"/>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89"/>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89"/>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89"/>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89"/>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89"/>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89"/>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89"/>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89"/>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89"/>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89"/>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89"/>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89"/>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89"/>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89"/>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89"/>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89"/>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89"/>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89"/>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89"/>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89"/>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89"/>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89"/>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89"/>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89"/>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89"/>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89"/>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89"/>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89"/>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89"/>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89"/>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89"/>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89"/>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89"/>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89"/>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89"/>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89"/>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89"/>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89"/>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89"/>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89"/>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89"/>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89"/>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89"/>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89"/>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89"/>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89"/>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89"/>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89"/>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89"/>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89"/>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89"/>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89"/>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89"/>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89"/>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89"/>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89"/>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89"/>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89"/>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89"/>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89"/>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89"/>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89"/>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89"/>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89"/>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89"/>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89"/>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89"/>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89"/>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89"/>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89"/>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89"/>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89"/>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89"/>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89"/>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89"/>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89"/>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89"/>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89"/>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89"/>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89"/>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89"/>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89"/>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89"/>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89"/>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89"/>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89"/>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89"/>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89"/>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89"/>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89"/>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89"/>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89"/>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89"/>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89"/>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89"/>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89"/>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89"/>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89"/>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89"/>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89"/>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89"/>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89"/>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89"/>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89"/>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89"/>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89"/>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89"/>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89"/>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89"/>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89"/>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89"/>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89"/>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89"/>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89"/>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89"/>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89"/>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89"/>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89"/>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89"/>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89"/>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89"/>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89"/>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89"/>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89"/>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89"/>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89"/>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89"/>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89"/>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89"/>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89"/>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89"/>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89"/>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89"/>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89"/>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89"/>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89"/>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89"/>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89"/>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89"/>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89"/>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89"/>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89"/>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89"/>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89"/>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89"/>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89"/>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89"/>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89"/>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89"/>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89"/>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89"/>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89"/>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89"/>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89"/>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89"/>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89"/>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89"/>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89"/>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89"/>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89"/>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89"/>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89"/>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89"/>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89"/>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89"/>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89"/>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89"/>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89"/>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89"/>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89"/>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89"/>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89"/>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89"/>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89"/>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89"/>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89"/>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89"/>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89"/>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89"/>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89"/>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89"/>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89"/>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89"/>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89"/>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89"/>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89"/>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89"/>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89"/>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89"/>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89"/>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89"/>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89"/>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89"/>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89"/>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89"/>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89"/>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89"/>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89"/>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89"/>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89"/>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89"/>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89"/>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89"/>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89"/>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89"/>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89"/>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89"/>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89"/>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89"/>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89"/>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89"/>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89"/>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89"/>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89"/>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89"/>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89"/>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89"/>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89"/>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89"/>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89"/>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89"/>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89"/>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89"/>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89"/>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89"/>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89"/>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89"/>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89"/>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89"/>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89"/>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89"/>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89"/>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89"/>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89"/>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89"/>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89"/>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89"/>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89"/>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89"/>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89"/>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89"/>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89"/>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89"/>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89"/>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89"/>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89"/>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89"/>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89"/>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89"/>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89"/>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89"/>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89"/>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89"/>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89"/>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89"/>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89"/>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89"/>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89"/>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89"/>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89"/>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89"/>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89"/>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89"/>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89"/>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89"/>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89"/>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89"/>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89"/>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89"/>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89"/>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89"/>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89"/>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89"/>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89"/>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89"/>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89"/>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89"/>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89"/>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89"/>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89"/>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89"/>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89"/>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89"/>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89"/>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89"/>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89"/>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89"/>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89"/>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89"/>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89"/>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89"/>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89"/>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89"/>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89"/>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89"/>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89"/>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89"/>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89"/>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89"/>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89"/>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89"/>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89"/>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89"/>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89"/>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89"/>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89"/>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89"/>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89"/>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89"/>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89"/>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89"/>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89"/>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89"/>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89"/>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89"/>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89"/>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89"/>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89"/>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89"/>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89"/>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89"/>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89"/>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89"/>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89"/>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89"/>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89"/>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89"/>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89"/>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89"/>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89"/>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89"/>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89"/>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89"/>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89"/>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89"/>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89"/>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89"/>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89"/>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89"/>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89"/>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89"/>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89"/>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89"/>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89"/>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89"/>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89"/>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89"/>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89"/>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89"/>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89"/>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89"/>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89"/>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89"/>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89"/>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89"/>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89"/>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89"/>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89"/>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89"/>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89"/>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89"/>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89"/>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89"/>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89"/>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89"/>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89"/>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89"/>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89"/>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89"/>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89"/>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89"/>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89"/>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89"/>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89"/>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89"/>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89"/>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89"/>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89"/>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89"/>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89"/>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89"/>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89"/>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89"/>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89"/>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89"/>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89"/>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89"/>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89"/>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89"/>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89"/>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89"/>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89"/>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89"/>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89"/>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89"/>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89"/>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89"/>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89"/>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89"/>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89"/>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89"/>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89"/>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89"/>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89"/>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89"/>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89"/>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89"/>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89"/>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89"/>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89"/>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89"/>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89"/>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89"/>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89"/>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89"/>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89"/>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89"/>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89"/>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89"/>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89"/>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89"/>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89"/>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89"/>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89"/>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89"/>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89"/>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89"/>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89"/>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89"/>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89"/>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89"/>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89"/>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89"/>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89"/>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89"/>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89"/>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89"/>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89"/>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89"/>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89"/>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89"/>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89"/>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89"/>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89"/>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89"/>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89"/>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89"/>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89"/>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89"/>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89"/>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89"/>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89"/>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89"/>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89"/>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89"/>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89"/>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89"/>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89"/>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89"/>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89"/>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89"/>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89"/>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89"/>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89"/>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89"/>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89"/>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89"/>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89"/>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89"/>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89"/>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89"/>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89"/>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89"/>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89"/>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89"/>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89"/>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89"/>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89"/>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89"/>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89"/>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89"/>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89"/>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89"/>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89"/>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89"/>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89"/>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89"/>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89"/>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89"/>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89"/>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89"/>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89"/>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89"/>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89"/>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89"/>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89"/>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89"/>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89"/>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89"/>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89"/>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89"/>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89"/>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89"/>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89"/>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89"/>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89"/>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89"/>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89"/>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89"/>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89"/>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89"/>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89"/>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89"/>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89"/>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89"/>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89"/>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89"/>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89"/>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89"/>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89"/>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89"/>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89"/>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89"/>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89"/>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89"/>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89"/>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89"/>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89"/>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89"/>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89"/>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89"/>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89"/>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89"/>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89"/>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89"/>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89"/>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89"/>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89"/>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89"/>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89"/>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89"/>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89"/>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89"/>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89"/>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89"/>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89"/>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89"/>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89"/>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89"/>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89"/>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89"/>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89"/>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89"/>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89"/>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89"/>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89"/>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89"/>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89"/>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89"/>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89"/>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89"/>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89"/>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89"/>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89"/>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89"/>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89"/>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89"/>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89"/>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89"/>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89"/>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89"/>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89"/>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89"/>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89"/>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89"/>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89"/>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89"/>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89"/>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89"/>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89"/>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89"/>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89"/>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89"/>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89"/>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89"/>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89"/>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89"/>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89"/>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89"/>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89"/>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89"/>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89"/>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89"/>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89"/>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89"/>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89"/>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89"/>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89"/>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89"/>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89"/>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89"/>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89"/>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89"/>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89"/>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89"/>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89"/>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89"/>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89"/>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89"/>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89"/>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89"/>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89"/>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89"/>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89"/>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89"/>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89"/>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89"/>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89"/>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89"/>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89"/>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89"/>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89"/>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89"/>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89"/>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89"/>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89"/>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89"/>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89"/>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89"/>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89"/>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89"/>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89"/>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89"/>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89"/>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89"/>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89"/>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89"/>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89"/>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89"/>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89"/>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89"/>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89"/>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89"/>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89"/>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89"/>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89"/>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89"/>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89"/>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89"/>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89"/>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89"/>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89"/>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89"/>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89"/>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89"/>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89"/>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89"/>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89"/>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89"/>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89"/>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89"/>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89"/>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89"/>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89"/>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89"/>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89"/>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89"/>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89"/>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89"/>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89"/>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89"/>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89"/>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89"/>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89"/>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89"/>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89"/>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89"/>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89"/>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89"/>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89"/>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89"/>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89"/>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89"/>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89"/>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89"/>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89"/>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89"/>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89"/>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89"/>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89"/>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89"/>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89"/>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89"/>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89"/>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89"/>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89"/>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89"/>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89"/>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89"/>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89"/>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89"/>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89"/>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89"/>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89"/>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89"/>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89"/>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89"/>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89"/>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89"/>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89"/>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89"/>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89"/>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89"/>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89"/>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89"/>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89"/>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89"/>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89"/>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89"/>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89"/>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89"/>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89"/>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89"/>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89"/>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89"/>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89"/>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89"/>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89"/>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89"/>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89"/>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89"/>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89"/>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89"/>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89"/>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89"/>
      <c r="R873" s="10"/>
      <c r="S873" s="10"/>
      <c r="T873" s="10"/>
      <c r="U873" s="10"/>
      <c r="V873" s="10"/>
      <c r="W873" s="10"/>
      <c r="X873" s="10"/>
      <c r="Y873" s="10"/>
      <c r="Z873" s="10"/>
    </row>
  </sheetData>
  <mergeCells count="3">
    <mergeCell ref="B2:E2"/>
    <mergeCell ref="B3:E3"/>
    <mergeCell ref="B4:E4"/>
  </mergeCells>
  <dataValidations>
    <dataValidation type="list" allowBlank="1" showErrorMessage="1" sqref="G2:G3 J2:J3 M2:M3 G9 J9 M9 F12:F20 I12:I20 L12:L20">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